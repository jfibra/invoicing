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overable" sheetId="2" state="visible" r:id="rId4"/>
    <sheet name="Blocked" sheetId="3" state="visible" r:id="rId5"/>
    <sheet name="Mixed-Use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<sst xmlns="http://schemas.openxmlformats.org/spreadsheetml/2006/main" count="418" uniqueCount="292">
  <si>
    <t xml:space="preserve">VAT Expense Checklist</t>
  </si>
  <si>
    <t xml:space="preserve">Dubai / UAE - Federal Tax Authority (FTA) Compliance</t>
  </si>
  <si>
    <t xml:space="preserve">Company Name:</t>
  </si>
  <si>
    <t xml:space="preserve">TRN Number:</t>
  </si>
  <si>
    <t xml:space="preserve">Tax Period:</t>
  </si>
  <si>
    <t xml:space="preserve">Prepared By:</t>
  </si>
  <si>
    <t xml:space="preserve">Date Prepared:</t>
  </si>
  <si>
    <t xml:space="preserve">Reviewed By:</t>
  </si>
  <si>
    <t xml:space="preserve">How to Use This Checklist</t>
  </si>
  <si>
    <t xml:space="preserve">1. Go through each expense category in the 'Recoverable', 'Blocked', and 'Mixed-Use' sheets.</t>
  </si>
  <si>
    <t xml:space="preserve">2. Tick the checkbox column for each expense you have incurred during the tax period.</t>
  </si>
  <si>
    <t xml:space="preserve">3. Enter the amount (AED) and VAT amount (AED) in the respective columns.</t>
  </si>
  <si>
    <t xml:space="preserve">4. Ensure a valid tax invoice is on file for every recoverable expense (supplier TRN + VAT shown).</t>
  </si>
  <si>
    <t xml:space="preserve">5. For mixed-use expenses, enter the business-use percentage and the recoverable VAT auto-calculates.</t>
  </si>
  <si>
    <t xml:space="preserve">6. Use the 'Summary' sheet to see total recoverable, blocked, and mixed-use VAT for the period.</t>
  </si>
  <si>
    <t xml:space="preserve">7. Retain all tax invoices for minimum 5 years as per FTA requirements.</t>
  </si>
  <si>
    <t xml:space="preserve">Key Conditions for Input VAT Recovery</t>
  </si>
  <si>
    <t xml:space="preserve">  -  Business must be VAT-registered with the FTA</t>
  </si>
  <si>
    <t xml:space="preserve">  -  Expense must be incurred wholly and exclusively for business purposes</t>
  </si>
  <si>
    <t xml:space="preserve">  -  A valid tax invoice must be available (showing supplier TRN and VAT amount)</t>
  </si>
  <si>
    <t xml:space="preserve">  -  Expense must relate to taxable supplies (standard-rated 5% or zero-rated 0%)</t>
  </si>
  <si>
    <t xml:space="preserve">  -  Mixed-use expenses require apportionment (only business-use portion is recoverable)</t>
  </si>
  <si>
    <t xml:space="preserve">  -  Expenses related to exempt supplies are NOT recoverable</t>
  </si>
  <si>
    <t xml:space="preserve">RECOVERABLE EXPENSES</t>
  </si>
  <si>
    <t xml:space="preserve">Input VAT can be claimed (5% recovery rate)</t>
  </si>
  <si>
    <t xml:space="preserve">Check</t>
  </si>
  <si>
    <t xml:space="preserve">Expense Item</t>
  </si>
  <si>
    <t xml:space="preserve">Details / Examples</t>
  </si>
  <si>
    <t xml:space="preserve">Amount (AED)</t>
  </si>
  <si>
    <t xml:space="preserve">VAT (AED)</t>
  </si>
  <si>
    <t xml:space="preserve">Invoice Ref.</t>
  </si>
  <si>
    <t xml:space="preserve">OFFICE &amp; ADMINISTRATIVE</t>
  </si>
  <si>
    <t xml:space="preserve">[ ]</t>
  </si>
  <si>
    <t xml:space="preserve">Commercial Office Rent</t>
  </si>
  <si>
    <t xml:space="preserve">VAT-registered landlord charging 5%</t>
  </si>
  <si>
    <t xml:space="preserve">Office Furniture</t>
  </si>
  <si>
    <t xml:space="preserve">Desks, chairs, cabinets, shelves, partitions</t>
  </si>
  <si>
    <t xml:space="preserve">Stationery &amp; Supplies</t>
  </si>
  <si>
    <t xml:space="preserve">Paper, pens, folders, binders, notebooks, sticky notes</t>
  </si>
  <si>
    <t xml:space="preserve">Printers &amp; Scanners</t>
  </si>
  <si>
    <t xml:space="preserve">Purchase or lease of office printing equipment</t>
  </si>
  <si>
    <t xml:space="preserve">Toner &amp; Ink Cartridges</t>
  </si>
  <si>
    <t xml:space="preserve">Consumables for printers and copiers</t>
  </si>
  <si>
    <t xml:space="preserve">Cleaning Services</t>
  </si>
  <si>
    <t xml:space="preserve">Office cleaning and janitorial services</t>
  </si>
  <si>
    <t xml:space="preserve">Security Services</t>
  </si>
  <si>
    <t xml:space="preserve">Office building security guard services</t>
  </si>
  <si>
    <t xml:space="preserve">Office Maintenance &amp; Repairs</t>
  </si>
  <si>
    <t xml:space="preserve">Minor repairs, painting, plumbing, electrical</t>
  </si>
  <si>
    <t xml:space="preserve">DEWA - Electricity</t>
  </si>
  <si>
    <t xml:space="preserve">Commercial electricity bills</t>
  </si>
  <si>
    <t xml:space="preserve">DEWA - Water</t>
  </si>
  <si>
    <t xml:space="preserve">Commercial water bills</t>
  </si>
  <si>
    <t xml:space="preserve">Empower / District Cooling</t>
  </si>
  <si>
    <t xml:space="preserve">Commercial cooling charges</t>
  </si>
  <si>
    <t xml:space="preserve">Internet (du / Etisalat)</t>
  </si>
  <si>
    <t xml:space="preserve">Business internet connection</t>
  </si>
  <si>
    <t xml:space="preserve">Telephone Lines</t>
  </si>
  <si>
    <t xml:space="preserve">Business landline and fax</t>
  </si>
  <si>
    <t xml:space="preserve">Mobile Phones (Business)</t>
  </si>
  <si>
    <t xml:space="preserve">Company mobile lines and plans</t>
  </si>
  <si>
    <t xml:space="preserve">Postal &amp; Courier Services</t>
  </si>
  <si>
    <t xml:space="preserve">Aramex, DHL, FedEx, Emirates Post</t>
  </si>
  <si>
    <t xml:space="preserve">PO Box Rental</t>
  </si>
  <si>
    <t xml:space="preserve">Annual PO Box rental from Emirates Post</t>
  </si>
  <si>
    <t xml:space="preserve">IT &amp; SOFTWARE</t>
  </si>
  <si>
    <t xml:space="preserve">Computers &amp; Laptops</t>
  </si>
  <si>
    <t xml:space="preserve">Purchase of desktops, laptops for staff</t>
  </si>
  <si>
    <t xml:space="preserve">Servers &amp; Networking</t>
  </si>
  <si>
    <t xml:space="preserve">Switches, routers, cables, servers</t>
  </si>
  <si>
    <t xml:space="preserve">Business Software Licenses</t>
  </si>
  <si>
    <t xml:space="preserve">CRM, accounting, ERP software licenses</t>
  </si>
  <si>
    <t xml:space="preserve">Cloud Hosting</t>
  </si>
  <si>
    <t xml:space="preserve">AWS, Azure, Google Cloud services</t>
  </si>
  <si>
    <t xml:space="preserve">SaaS Subscriptions</t>
  </si>
  <si>
    <t xml:space="preserve">Microsoft 365, Google Workspace, Slack, Zoom</t>
  </si>
  <si>
    <t xml:space="preserve">Website Domain &amp; Hosting</t>
  </si>
  <si>
    <t xml:space="preserve">Domain registration, SSL, web hosting</t>
  </si>
  <si>
    <t xml:space="preserve">Antivirus &amp; Cybersecurity</t>
  </si>
  <si>
    <t xml:space="preserve">Security software and services</t>
  </si>
  <si>
    <t xml:space="preserve">IT Support &amp; Maintenance</t>
  </si>
  <si>
    <t xml:space="preserve">External IT support contracts</t>
  </si>
  <si>
    <t xml:space="preserve">Data Storage &amp; Backup</t>
  </si>
  <si>
    <t xml:space="preserve">Cloud backup and storage services</t>
  </si>
  <si>
    <t xml:space="preserve">PROFESSIONAL SERVICES</t>
  </si>
  <si>
    <t xml:space="preserve">External Audit Fees</t>
  </si>
  <si>
    <t xml:space="preserve">Annual statutory audit fees</t>
  </si>
  <si>
    <t xml:space="preserve">Accounting &amp; Bookkeeping</t>
  </si>
  <si>
    <t xml:space="preserve">Outsourced accounting services</t>
  </si>
  <si>
    <t xml:space="preserve">Legal Consultation</t>
  </si>
  <si>
    <t xml:space="preserve">Legal retainer and advisory fees</t>
  </si>
  <si>
    <t xml:space="preserve">Tax &amp; VAT Advisory</t>
  </si>
  <si>
    <t xml:space="preserve">Tax agent fees, VAT return filing services</t>
  </si>
  <si>
    <t xml:space="preserve">Management Consulting</t>
  </si>
  <si>
    <t xml:space="preserve">Strategy and operational consulting</t>
  </si>
  <si>
    <t xml:space="preserve">HR &amp; Recruitment Agency</t>
  </si>
  <si>
    <t xml:space="preserve">Recruitment agency placement fees</t>
  </si>
  <si>
    <t xml:space="preserve">Employee Training</t>
  </si>
  <si>
    <t xml:space="preserve">Training courses and certifications</t>
  </si>
  <si>
    <t xml:space="preserve">Translation Services</t>
  </si>
  <si>
    <t xml:space="preserve">Legal and business translation</t>
  </si>
  <si>
    <t xml:space="preserve">Engineering / Architecture</t>
  </si>
  <si>
    <t xml:space="preserve">Consultancy for office fit-out or projects</t>
  </si>
  <si>
    <t xml:space="preserve">MARKETING &amp; ADVERTISING</t>
  </si>
  <si>
    <t xml:space="preserve">Digital Advertising</t>
  </si>
  <si>
    <t xml:space="preserve">Google Ads, Facebook Ads, LinkedIn Ads</t>
  </si>
  <si>
    <t xml:space="preserve">Social Media Management</t>
  </si>
  <si>
    <t xml:space="preserve">Social media management tools and services</t>
  </si>
  <si>
    <t xml:space="preserve">Print Advertising</t>
  </si>
  <si>
    <t xml:space="preserve">Newspapers, magazines, billboards</t>
  </si>
  <si>
    <t xml:space="preserve">Brochures &amp; Flyers</t>
  </si>
  <si>
    <t xml:space="preserve">Promotional materials printing</t>
  </si>
  <si>
    <t xml:space="preserve">Event &amp; Exhibition Costs</t>
  </si>
  <si>
    <t xml:space="preserve">Trade show booth, exhibition participation</t>
  </si>
  <si>
    <t xml:space="preserve">Sponsorship Fees</t>
  </si>
  <si>
    <t xml:space="preserve">Business-related event sponsorships</t>
  </si>
  <si>
    <t xml:space="preserve">Photography &amp; Videography</t>
  </si>
  <si>
    <t xml:space="preserve">Professional photo/video for business</t>
  </si>
  <si>
    <t xml:space="preserve">Branding &amp; Design</t>
  </si>
  <si>
    <t xml:space="preserve">Logo, brand identity, graphic design services</t>
  </si>
  <si>
    <t xml:space="preserve">PR &amp; Communications</t>
  </si>
  <si>
    <t xml:space="preserve">Public relations and media outreach</t>
  </si>
  <si>
    <t xml:space="preserve">Website Development &amp; SEO</t>
  </si>
  <si>
    <t xml:space="preserve">Website creation, maintenance, SEO services</t>
  </si>
  <si>
    <t xml:space="preserve">TRAVEL &amp; TRANSPORTATION</t>
  </si>
  <si>
    <t xml:space="preserve">Business Flights</t>
  </si>
  <si>
    <t xml:space="preserve">Air tickets for business travel</t>
  </si>
  <si>
    <t xml:space="preserve">Hotel Stays (Business)</t>
  </si>
  <si>
    <t xml:space="preserve">Accommodation during business trips</t>
  </si>
  <si>
    <t xml:space="preserve">Taxi &amp; Ride-hailing</t>
  </si>
  <si>
    <t xml:space="preserve">Careem, Uber for business purposes</t>
  </si>
  <si>
    <t xml:space="preserve">Car Rental (Business)</t>
  </si>
  <si>
    <t xml:space="preserve">Short-term vehicle rental for business</t>
  </si>
  <si>
    <t xml:space="preserve">Petrol / Fuel</t>
  </si>
  <si>
    <t xml:space="preserve">Fuel for company-registered vehicles only</t>
  </si>
  <si>
    <t xml:space="preserve">Airport Parking</t>
  </si>
  <si>
    <t xml:space="preserve">Parking fees during business travel</t>
  </si>
  <si>
    <t xml:space="preserve">Conference Registration</t>
  </si>
  <si>
    <t xml:space="preserve">Seminar and conference registration fees</t>
  </si>
  <si>
    <t xml:space="preserve">EMPLOYEE-RELATED (RECOVERABLE)</t>
  </si>
  <si>
    <t xml:space="preserve">Employee Visa Fees</t>
  </si>
  <si>
    <t xml:space="preserve">Visa processing and typing center fees</t>
  </si>
  <si>
    <t xml:space="preserve">Medical Insurance (Mandatory)</t>
  </si>
  <si>
    <t xml:space="preserve">Mandatory employee health insurance (Dubai Law 11/2013)</t>
  </si>
  <si>
    <t xml:space="preserve">Staff Accommodation</t>
  </si>
  <si>
    <t xml:space="preserve">If contractually obligated in employment contract</t>
  </si>
  <si>
    <t xml:space="preserve">Employee Conveyance</t>
  </si>
  <si>
    <t xml:space="preserve">Transport to/from office per employment contract</t>
  </si>
  <si>
    <t xml:space="preserve">Work Uniforms &amp; PPE</t>
  </si>
  <si>
    <t xml:space="preserve">Uniforms and protective equipment for staff</t>
  </si>
  <si>
    <t xml:space="preserve">Training &amp; Certifications</t>
  </si>
  <si>
    <t xml:space="preserve">Professional development courses for employees</t>
  </si>
  <si>
    <t xml:space="preserve">Recruitment &amp; Background Checks</t>
  </si>
  <si>
    <t xml:space="preserve">Background screening and verification fees</t>
  </si>
  <si>
    <t xml:space="preserve">CAPITAL EXPENDITURE</t>
  </si>
  <si>
    <t xml:space="preserve">Machinery &amp; Equipment</t>
  </si>
  <si>
    <t xml:space="preserve">Purchase of business machinery</t>
  </si>
  <si>
    <t xml:space="preserve">Office Fit-Out &amp; Renovation</t>
  </si>
  <si>
    <t xml:space="preserve">Interior fit-out for commercial office</t>
  </si>
  <si>
    <t xml:space="preserve">Business Vehicles (Excl. Personal)</t>
  </si>
  <si>
    <t xml:space="preserve">Delivery vans, fleet vehicles (not passenger cars)</t>
  </si>
  <si>
    <t xml:space="preserve">Commercial Property Purchase</t>
  </si>
  <si>
    <t xml:space="preserve">Purchase of commercial property for business</t>
  </si>
  <si>
    <t xml:space="preserve">FINANCIAL &amp; INSURANCE</t>
  </si>
  <si>
    <t xml:space="preserve">Bank Charges (VAT-bearing)</t>
  </si>
  <si>
    <t xml:space="preserve">Account maintenance fees where VAT is charged</t>
  </si>
  <si>
    <t xml:space="preserve">Loan Arrangement Fees (VAT)</t>
  </si>
  <si>
    <t xml:space="preserve">Processing fees with VAT component</t>
  </si>
  <si>
    <t xml:space="preserve">Equipment Insurance</t>
  </si>
  <si>
    <t xml:space="preserve">Insurance for machinery and equipment</t>
  </si>
  <si>
    <t xml:space="preserve">Building &amp; Property Insurance</t>
  </si>
  <si>
    <t xml:space="preserve">Commercial property insurance premiums</t>
  </si>
  <si>
    <t xml:space="preserve">Professional Indemnity Insurance</t>
  </si>
  <si>
    <t xml:space="preserve">PI insurance for professional services</t>
  </si>
  <si>
    <t xml:space="preserve">IMPORT &amp; REVERSE CHARGE</t>
  </si>
  <si>
    <t xml:space="preserve">Import VAT on Goods</t>
  </si>
  <si>
    <t xml:space="preserve">VAT paid at customs on imported goods</t>
  </si>
  <si>
    <t xml:space="preserve">Import VAT on Services</t>
  </si>
  <si>
    <t xml:space="preserve">Reverse charge VAT on imported services (net zero)</t>
  </si>
  <si>
    <t xml:space="preserve">Customs Duty (Note)</t>
  </si>
  <si>
    <t xml:space="preserve">Customs duty is NOT recoverable - only the VAT portion is</t>
  </si>
  <si>
    <t xml:space="preserve">FOOD &amp; REFRESHMENTS (LIMITED)</t>
  </si>
  <si>
    <t xml:space="preserve">Meeting Refreshments</t>
  </si>
  <si>
    <t xml:space="preserve">Tea, coffee, water during business meetings</t>
  </si>
  <si>
    <t xml:space="preserve">Working Lunch (In-Meeting)</t>
  </si>
  <si>
    <t xml:space="preserve">Non-extravagant lunch during business meeting</t>
  </si>
  <si>
    <t xml:space="preserve">Office Catering (Meetings)</t>
  </si>
  <si>
    <t xml:space="preserve">Catered food consumed during office meetings</t>
  </si>
  <si>
    <t xml:space="preserve">TOTAL</t>
  </si>
  <si>
    <t xml:space="preserve">BLOCKED / NON-RECOVERABLE EXPENSES</t>
  </si>
  <si>
    <t xml:space="preserve">Input VAT CANNOT be claimed (treated as business cost)</t>
  </si>
  <si>
    <t xml:space="preserve">ENTERTAINMENT</t>
  </si>
  <si>
    <t xml:space="preserve">Client Dinners &amp; Lunches</t>
  </si>
  <si>
    <t xml:space="preserve">Social/entertainment meals with clients</t>
  </si>
  <si>
    <t xml:space="preserve">Client Hotel Stays</t>
  </si>
  <si>
    <t xml:space="preserve">Accommodation for client entertainment</t>
  </si>
  <si>
    <t xml:space="preserve">Event &amp; Show Tickets</t>
  </si>
  <si>
    <t xml:space="preserve">Concerts, shows, sporting events for clients</t>
  </si>
  <si>
    <t xml:space="preserve">Leisure Trips &amp; Excursions</t>
  </si>
  <si>
    <t xml:space="preserve">Trips provided for pleasure/entertainment</t>
  </si>
  <si>
    <t xml:space="preserve">Gifts &amp; Giveaways</t>
  </si>
  <si>
    <t xml:space="preserve">Gifts to clients, suppliers, non-employees</t>
  </si>
  <si>
    <t xml:space="preserve">Free Samples</t>
  </si>
  <si>
    <t xml:space="preserve">Free product samples distributed</t>
  </si>
  <si>
    <t xml:space="preserve">Staff Holiday Parties</t>
  </si>
  <si>
    <t xml:space="preserve">Seasonal parties and celebrations</t>
  </si>
  <si>
    <t xml:space="preserve">Team Building (Social)</t>
  </si>
  <si>
    <t xml:space="preserve">Social team building events and retreats</t>
  </si>
  <si>
    <t xml:space="preserve">MOTOR VEHICLES (PERSONAL USE)</t>
  </si>
  <si>
    <t xml:space="preserve">Car Purchase (Personal Use)</t>
  </si>
  <si>
    <t xml:space="preserve">Vehicles available for personal use</t>
  </si>
  <si>
    <t xml:space="preserve">Car Lease (Personal Use)</t>
  </si>
  <si>
    <t xml:space="preserve">Lease/rental of vehicles for personal use</t>
  </si>
  <si>
    <t xml:space="preserve">Fuel (Personal Use)</t>
  </si>
  <si>
    <t xml:space="preserve">Petrol for personal vehicle use</t>
  </si>
  <si>
    <t xml:space="preserve">Insurance (Personal Vehicle)</t>
  </si>
  <si>
    <t xml:space="preserve">Insurance for personal-use vehicles</t>
  </si>
  <si>
    <t xml:space="preserve">PERSONAL &amp; NON-BUSINESS</t>
  </si>
  <si>
    <t xml:space="preserve">Owner's Personal Expenses</t>
  </si>
  <si>
    <t xml:space="preserve">Personal costs charged to business</t>
  </si>
  <si>
    <t xml:space="preserve">Personal Phone Bills</t>
  </si>
  <si>
    <t xml:space="preserve">Non-business mobile/landline charges</t>
  </si>
  <si>
    <t xml:space="preserve">Personal Travel</t>
  </si>
  <si>
    <t xml:space="preserve">Non-business trips and holidays</t>
  </si>
  <si>
    <t xml:space="preserve">Personal Groceries</t>
  </si>
  <si>
    <t xml:space="preserve">Personal food and household items</t>
  </si>
  <si>
    <t xml:space="preserve">School Fees (Owner's Children)</t>
  </si>
  <si>
    <t xml:space="preserve">Education expenses for owners' families</t>
  </si>
  <si>
    <t xml:space="preserve">EXEMPT SUPPLY-RELATED</t>
  </si>
  <si>
    <t xml:space="preserve">Residential Property Rent</t>
  </si>
  <si>
    <t xml:space="preserve">Rent for residential property</t>
  </si>
  <si>
    <t xml:space="preserve">Bare Land Purchase</t>
  </si>
  <si>
    <t xml:space="preserve">Purchase of undeveloped land without buildings</t>
  </si>
  <si>
    <t xml:space="preserve">Local Passenger Transport</t>
  </si>
  <si>
    <t xml:space="preserve">Taxi, bus, metro for local transport</t>
  </si>
  <si>
    <t xml:space="preserve">Certain Financial Services</t>
  </si>
  <si>
    <t xml:space="preserve">Margin-based financial services</t>
  </si>
  <si>
    <t xml:space="preserve">Life Insurance Premiums</t>
  </si>
  <si>
    <t xml:space="preserve">Life insurance policies</t>
  </si>
  <si>
    <t xml:space="preserve">OTHER NON-RECOVERABLE</t>
  </si>
  <si>
    <t xml:space="preserve">Fines &amp; Penalties</t>
  </si>
  <si>
    <t xml:space="preserve">Traffic fines, regulatory penalties</t>
  </si>
  <si>
    <t xml:space="preserve">Donations (Non-Qualifying)</t>
  </si>
  <si>
    <t xml:space="preserve">Donations to non-qualifying public benefit entities</t>
  </si>
  <si>
    <t xml:space="preserve">Expenses Without Tax Invoice</t>
  </si>
  <si>
    <t xml:space="preserve">Purchases without valid tax invoice</t>
  </si>
  <si>
    <t xml:space="preserve">Dependent Medical Insurance</t>
  </si>
  <si>
    <t xml:space="preserve">Voluntary coverage for employee family members</t>
  </si>
  <si>
    <t xml:space="preserve">Entertainment for Shareholders</t>
  </si>
  <si>
    <t xml:space="preserve">Hospitality for shareholders or investors</t>
  </si>
  <si>
    <t xml:space="preserve">Recoverable Input VAT (as cost)</t>
  </si>
  <si>
    <t xml:space="preserve">VAT already recovered cannot be claimed as expense</t>
  </si>
  <si>
    <t xml:space="preserve">Corporate Tax Payments</t>
  </si>
  <si>
    <t xml:space="preserve">UAE corporate tax payments are not deductible</t>
  </si>
  <si>
    <t xml:space="preserve">MIXED-USE EXPENSES (APPORTIONMENT REQUIRED)</t>
  </si>
  <si>
    <t xml:space="preserve">Enter total amount and VAT, then business-use %. Recoverable VAT auto-calculates.</t>
  </si>
  <si>
    <t xml:space="preserve">Details</t>
  </si>
  <si>
    <t xml:space="preserve">Total Amount (AED)</t>
  </si>
  <si>
    <t xml:space="preserve">Total VAT (AED)</t>
  </si>
  <si>
    <t xml:space="preserve">Business Use %</t>
  </si>
  <si>
    <t xml:space="preserve">Recoverable VAT (AED)</t>
  </si>
  <si>
    <t xml:space="preserve">Non-Recoverable VAT (AED)</t>
  </si>
  <si>
    <t xml:space="preserve">Mobile Phone (Personal + Business)</t>
  </si>
  <si>
    <t xml:space="preserve">Company mobile used for both personal and business</t>
  </si>
  <si>
    <t xml:space="preserve">Vehicle (Personal + Business)</t>
  </si>
  <si>
    <t xml:space="preserve">Company car used for personal trips too</t>
  </si>
  <si>
    <t xml:space="preserve">Internet (Home Office)</t>
  </si>
  <si>
    <t xml:space="preserve">Home internet used partially for business</t>
  </si>
  <si>
    <t xml:space="preserve">Laptop / Computer (Mixed)</t>
  </si>
  <si>
    <t xml:space="preserve">Device used for both personal and business</t>
  </si>
  <si>
    <t xml:space="preserve">Utilities (Home Office)</t>
  </si>
  <si>
    <t xml:space="preserve">Home DEWA bills partially for business</t>
  </si>
  <si>
    <t xml:space="preserve">Rent (Dual-Purpose Space)</t>
  </si>
  <si>
    <t xml:space="preserve">Space used for both taxable and exempt activities</t>
  </si>
  <si>
    <t xml:space="preserve">Insurance (Mixed Policies)</t>
  </si>
  <si>
    <t xml:space="preserve">Policy covering both business and personal items</t>
  </si>
  <si>
    <t xml:space="preserve">Software (Mixed Use)</t>
  </si>
  <si>
    <t xml:space="preserve">Software license used partially for personal projects</t>
  </si>
  <si>
    <t xml:space="preserve">Professional Fees (Mixed)</t>
  </si>
  <si>
    <t xml:space="preserve">Consulting fees relating to both taxable and exempt supplies</t>
  </si>
  <si>
    <t xml:space="preserve">General Overheads (Mixed)</t>
  </si>
  <si>
    <t xml:space="preserve">Shared costs across taxable and exempt activities</t>
  </si>
  <si>
    <t xml:space="preserve">VAT EXPENSE SUMMARY</t>
  </si>
  <si>
    <t xml:space="preserve">Consolidated overview of recoverable, blocked, and mixed-use VAT</t>
  </si>
  <si>
    <t xml:space="preserve">Category</t>
  </si>
  <si>
    <t xml:space="preserve">Recoverable Expenses</t>
  </si>
  <si>
    <t xml:space="preserve">Blocked Expenses</t>
  </si>
  <si>
    <t xml:space="preserve">Mixed-Use Expenses</t>
  </si>
  <si>
    <t xml:space="preserve">GRAND TOTAL</t>
  </si>
  <si>
    <t xml:space="preserve">NET VAT RECOVERABLE FROM FTA</t>
  </si>
  <si>
    <t xml:space="preserve">Note: This summary auto-populates from the Recoverable, Blocked, and Mixed-Use sheets.</t>
  </si>
  <si>
    <t xml:space="preserve">Sources: FTA UAE (tax.gov.ae), Maya Finance, CDA Audit, Tally Solutions, ClearTax UAE, Excellence Accounting, NOW Money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</si>
</sst>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28251D"/>
      <name val="Calibri"/>
      <family val="0"/>
      <charset val="1"/>
    </font>
    <font>
      <sz val="11"/>
      <color rgb="FF28251D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8251D"/>
      <name val="Calibri"/>
      <family val="0"/>
      <charset val="1"/>
    </font>
    <font>
      <i val="true"/>
      <sz val="10"/>
      <color rgb="FF7A7974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C4E54"/>
        <bgColor rgb="FF01696F"/>
      </patternFill>
    </fill>
    <fill>
      <patternFill patternType="solid">
        <fgColor rgb="FF01696F"/>
        <bgColor rgb="FF008080"/>
      </patternFill>
    </fill>
    <fill>
      <patternFill patternType="solid">
        <fgColor rgb="FF4F98A3"/>
        <bgColor rgb="FF7A7974"/>
      </patternFill>
    </fill>
    <fill>
      <patternFill patternType="solid">
        <fgColor rgb="FFE8F0EE"/>
        <bgColor rgb="FFF5E8F0"/>
      </patternFill>
    </fill>
    <fill>
      <patternFill patternType="solid">
        <fgColor rgb="FFF5E8F0"/>
        <bgColor rgb="FFFAF3E8"/>
      </patternFill>
    </fill>
    <fill>
      <patternFill patternType="solid">
        <fgColor rgb="FFFAF3E8"/>
        <bgColor rgb="FFF5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/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5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6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7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7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993366"/>
      <rgbColor rgb="FFFAF3E8"/>
      <rgbColor rgb="FFE8F0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E54"/>
      <rgbColor rgb="FF4F98A3"/>
      <rgbColor rgb="FF003300"/>
      <rgbColor rgb="FF333300"/>
      <rgbColor rgb="FF993300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1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</row>
    <row r="4" customFormat="false" ht="15" hidden="false" customHeight="true" outlineLevel="0" collapsed="false">
      <c r="B4" s="2" t="s">
        <v>1</v>
      </c>
      <c r="C4" s="2"/>
      <c r="D4" s="2"/>
      <c r="E4" s="2"/>
      <c r="F4" s="2"/>
      <c r="G4" s="2"/>
    </row>
    <row r="6" customFormat="false" ht="28.35" hidden="false" customHeight="false" outlineLevel="0" collapsed="false">
      <c r="B6" s="3" t="s">
        <v>2</v>
      </c>
      <c r="C6" s="4"/>
      <c r="D6" s="4"/>
      <c r="E6" s="4"/>
      <c r="F6" s="4"/>
      <c r="G6" s="4"/>
    </row>
    <row r="7" customFormat="false" ht="15" hidden="false" customHeight="false" outlineLevel="0" collapsed="false">
      <c r="B7" s="3" t="s">
        <v>3</v>
      </c>
      <c r="C7" s="4"/>
      <c r="D7" s="4"/>
      <c r="E7" s="4"/>
      <c r="F7" s="4"/>
      <c r="G7" s="4"/>
    </row>
    <row r="8" customFormat="false" ht="15" hidden="false" customHeight="false" outlineLevel="0" collapsed="false">
      <c r="B8" s="3" t="s">
        <v>4</v>
      </c>
      <c r="C8" s="4"/>
      <c r="D8" s="4"/>
      <c r="E8" s="4"/>
      <c r="F8" s="4"/>
      <c r="G8" s="4"/>
    </row>
    <row r="9" customFormat="false" ht="15" hidden="false" customHeight="false" outlineLevel="0" collapsed="false">
      <c r="B9" s="3" t="s">
        <v>5</v>
      </c>
      <c r="C9" s="4"/>
      <c r="D9" s="4"/>
      <c r="E9" s="4"/>
      <c r="F9" s="4"/>
      <c r="G9" s="4"/>
    </row>
    <row r="10" customFormat="false" ht="15" hidden="false" customHeight="false" outlineLevel="0" collapsed="false">
      <c r="B10" s="3" t="s">
        <v>6</v>
      </c>
      <c r="C10" s="4"/>
      <c r="D10" s="4"/>
      <c r="E10" s="4"/>
      <c r="F10" s="4"/>
      <c r="G10" s="4"/>
    </row>
    <row r="11" customFormat="false" ht="15" hidden="false" customHeight="false" outlineLevel="0" collapsed="false">
      <c r="B11" s="3" t="s">
        <v>7</v>
      </c>
      <c r="C11" s="4"/>
      <c r="D11" s="4"/>
      <c r="E11" s="4"/>
      <c r="F11" s="4"/>
      <c r="G11" s="4"/>
    </row>
    <row r="13" customFormat="false" ht="15" hidden="false" customHeight="true" outlineLevel="0" collapsed="false">
      <c r="B13" s="2" t="s">
        <v>8</v>
      </c>
      <c r="C13" s="2"/>
      <c r="D13" s="2"/>
      <c r="E13" s="2"/>
      <c r="F13" s="2"/>
      <c r="G13" s="2"/>
    </row>
    <row r="14" customFormat="false" ht="19.5" hidden="false" customHeight="true" outlineLevel="0" collapsed="false">
      <c r="B14" s="5" t="s">
        <v>9</v>
      </c>
      <c r="C14" s="5"/>
      <c r="D14" s="5"/>
      <c r="E14" s="5"/>
      <c r="F14" s="5"/>
      <c r="G14" s="5"/>
    </row>
    <row r="15" customFormat="false" ht="19.5" hidden="false" customHeight="true" outlineLevel="0" collapsed="false">
      <c r="B15" s="5" t="s">
        <v>10</v>
      </c>
      <c r="C15" s="5"/>
      <c r="D15" s="5"/>
      <c r="E15" s="5"/>
      <c r="F15" s="5"/>
      <c r="G15" s="5"/>
    </row>
    <row r="16" customFormat="false" ht="19.5" hidden="false" customHeight="true" outlineLevel="0" collapsed="false">
      <c r="B16" s="5" t="s">
        <v>11</v>
      </c>
      <c r="C16" s="5"/>
      <c r="D16" s="5"/>
      <c r="E16" s="5"/>
      <c r="F16" s="5"/>
      <c r="G16" s="5"/>
    </row>
    <row r="17" customFormat="false" ht="19.5" hidden="false" customHeight="true" outlineLevel="0" collapsed="false">
      <c r="B17" s="5" t="s">
        <v>12</v>
      </c>
      <c r="C17" s="5"/>
      <c r="D17" s="5"/>
      <c r="E17" s="5"/>
      <c r="F17" s="5"/>
      <c r="G17" s="5"/>
    </row>
    <row r="18" customFormat="false" ht="19.5" hidden="false" customHeight="true" outlineLevel="0" collapsed="false">
      <c r="B18" s="5" t="s">
        <v>13</v>
      </c>
      <c r="C18" s="5"/>
      <c r="D18" s="5"/>
      <c r="E18" s="5"/>
      <c r="F18" s="5"/>
      <c r="G18" s="5"/>
    </row>
    <row r="19" customFormat="false" ht="19.5" hidden="false" customHeight="true" outlineLevel="0" collapsed="false">
      <c r="B19" s="5" t="s">
        <v>14</v>
      </c>
      <c r="C19" s="5"/>
      <c r="D19" s="5"/>
      <c r="E19" s="5"/>
      <c r="F19" s="5"/>
      <c r="G19" s="5"/>
    </row>
    <row r="20" customFormat="false" ht="19.5" hidden="false" customHeight="true" outlineLevel="0" collapsed="false">
      <c r="B20" s="5" t="s">
        <v>15</v>
      </c>
      <c r="C20" s="5"/>
      <c r="D20" s="5"/>
      <c r="E20" s="5"/>
      <c r="F20" s="5"/>
      <c r="G20" s="5"/>
    </row>
    <row r="22" customFormat="false" ht="15" hidden="false" customHeight="true" outlineLevel="0" collapsed="false">
      <c r="B22" s="2" t="s">
        <v>16</v>
      </c>
      <c r="C22" s="2"/>
      <c r="D22" s="2"/>
      <c r="E22" s="2"/>
      <c r="F22" s="2"/>
      <c r="G22" s="2"/>
    </row>
    <row r="23" customFormat="false" ht="18" hidden="false" customHeight="true" outlineLevel="0" collapsed="false">
      <c r="B23" s="5" t="s">
        <v>17</v>
      </c>
      <c r="C23" s="5"/>
      <c r="D23" s="5"/>
      <c r="E23" s="5"/>
      <c r="F23" s="5"/>
      <c r="G23" s="5"/>
    </row>
    <row r="24" customFormat="false" ht="18" hidden="false" customHeight="true" outlineLevel="0" collapsed="false">
      <c r="B24" s="5" t="s">
        <v>18</v>
      </c>
      <c r="C24" s="5"/>
      <c r="D24" s="5"/>
      <c r="E24" s="5"/>
      <c r="F24" s="5"/>
      <c r="G24" s="5"/>
    </row>
    <row r="25" customFormat="false" ht="18" hidden="false" customHeight="true" outlineLevel="0" collapsed="false">
      <c r="B25" s="5" t="s">
        <v>19</v>
      </c>
      <c r="C25" s="5"/>
      <c r="D25" s="5"/>
      <c r="E25" s="5"/>
      <c r="F25" s="5"/>
      <c r="G25" s="5"/>
    </row>
    <row r="26" customFormat="false" ht="18" hidden="false" customHeight="true" outlineLevel="0" collapsed="false">
      <c r="B26" s="5" t="s">
        <v>20</v>
      </c>
      <c r="C26" s="5"/>
      <c r="D26" s="5"/>
      <c r="E26" s="5"/>
      <c r="F26" s="5"/>
      <c r="G26" s="5"/>
    </row>
    <row r="27" customFormat="false" ht="18" hidden="false" customHeight="true" outlineLevel="0" collapsed="false">
      <c r="B27" s="5" t="s">
        <v>21</v>
      </c>
      <c r="C27" s="5"/>
      <c r="D27" s="5"/>
      <c r="E27" s="5"/>
      <c r="F27" s="5"/>
      <c r="G27" s="5"/>
    </row>
    <row r="28" customFormat="false" ht="18" hidden="false" customHeight="true" outlineLevel="0" collapsed="false">
      <c r="B28" s="5" t="s">
        <v>22</v>
      </c>
      <c r="C28" s="5"/>
      <c r="D28" s="5"/>
      <c r="E28" s="5"/>
      <c r="F28" s="5"/>
      <c r="G28" s="5"/>
    </row>
  </sheetData>
  <mergeCells count="23">
    <mergeCell ref="B2:G3"/>
    <mergeCell ref="B4:G4"/>
    <mergeCell ref="C6:G6"/>
    <mergeCell ref="C7:G7"/>
    <mergeCell ref="C8:G8"/>
    <mergeCell ref="C9:G9"/>
    <mergeCell ref="C10:G10"/>
    <mergeCell ref="C11:G11"/>
    <mergeCell ref="B13:G13"/>
    <mergeCell ref="B14:G14"/>
    <mergeCell ref="B15:G15"/>
    <mergeCell ref="B16:G16"/>
    <mergeCell ref="B17:G17"/>
    <mergeCell ref="B18:G18"/>
    <mergeCell ref="B19:G19"/>
    <mergeCell ref="B20:G20"/>
    <mergeCell ref="B22:G22"/>
    <mergeCell ref="B23:G23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45"/>
    <col collapsed="false" customWidth="true" hidden="false" outlineLevel="0" max="6" min="5" style="0" width="16"/>
    <col collapsed="false" customWidth="true" hidden="false" outlineLevel="0" max="7" min="7" style="0" width="14"/>
  </cols>
  <sheetData>
    <row r="2" customFormat="false" ht="30" hidden="false" customHeight="true" outlineLevel="0" collapsed="false">
      <c r="B2" s="6" t="s">
        <v>23</v>
      </c>
      <c r="C2" s="6"/>
      <c r="D2" s="6"/>
      <c r="E2" s="6"/>
      <c r="F2" s="6"/>
      <c r="G2" s="6"/>
    </row>
    <row r="3" customFormat="false" ht="21.75" hidden="false" customHeight="true" outlineLevel="0" collapsed="false">
      <c r="B3" s="7" t="s">
        <v>24</v>
      </c>
      <c r="C3" s="7"/>
      <c r="D3" s="7"/>
      <c r="E3" s="7"/>
      <c r="F3" s="7"/>
      <c r="G3" s="7"/>
    </row>
    <row r="4" customFormat="false" ht="27.75" hidden="false" customHeight="true" outlineLevel="0" collapsed="false"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</row>
    <row r="5" customFormat="false" ht="24" hidden="false" customHeight="true" outlineLevel="0" collapsed="false">
      <c r="B5" s="9" t="s">
        <v>31</v>
      </c>
      <c r="C5" s="9"/>
      <c r="D5" s="9"/>
      <c r="E5" s="9"/>
      <c r="F5" s="9"/>
      <c r="G5" s="9"/>
    </row>
    <row r="6" customFormat="false" ht="27.75" hidden="false" customHeight="true" outlineLevel="0" collapsed="false">
      <c r="B6" s="10" t="s">
        <v>32</v>
      </c>
      <c r="C6" s="11" t="s">
        <v>33</v>
      </c>
      <c r="D6" s="12" t="s">
        <v>34</v>
      </c>
      <c r="E6" s="13"/>
      <c r="F6" s="13"/>
      <c r="G6" s="14"/>
    </row>
    <row r="7" customFormat="false" ht="27.75" hidden="false" customHeight="true" outlineLevel="0" collapsed="false">
      <c r="B7" s="15" t="s">
        <v>32</v>
      </c>
      <c r="C7" s="16" t="s">
        <v>35</v>
      </c>
      <c r="D7" s="17" t="s">
        <v>36</v>
      </c>
      <c r="E7" s="18"/>
      <c r="F7" s="18"/>
      <c r="G7" s="19"/>
    </row>
    <row r="8" customFormat="false" ht="27.75" hidden="false" customHeight="true" outlineLevel="0" collapsed="false">
      <c r="B8" s="10" t="s">
        <v>32</v>
      </c>
      <c r="C8" s="11" t="s">
        <v>37</v>
      </c>
      <c r="D8" s="12" t="s">
        <v>38</v>
      </c>
      <c r="E8" s="13"/>
      <c r="F8" s="13"/>
      <c r="G8" s="14"/>
    </row>
    <row r="9" customFormat="false" ht="27.75" hidden="false" customHeight="true" outlineLevel="0" collapsed="false">
      <c r="B9" s="15" t="s">
        <v>32</v>
      </c>
      <c r="C9" s="16" t="s">
        <v>39</v>
      </c>
      <c r="D9" s="17" t="s">
        <v>40</v>
      </c>
      <c r="E9" s="18"/>
      <c r="F9" s="18"/>
      <c r="G9" s="19"/>
    </row>
    <row r="10" customFormat="false" ht="27.75" hidden="false" customHeight="true" outlineLevel="0" collapsed="false">
      <c r="B10" s="10" t="s">
        <v>32</v>
      </c>
      <c r="C10" s="11" t="s">
        <v>41</v>
      </c>
      <c r="D10" s="12" t="s">
        <v>42</v>
      </c>
      <c r="E10" s="13"/>
      <c r="F10" s="13"/>
      <c r="G10" s="14"/>
    </row>
    <row r="11" customFormat="false" ht="27.75" hidden="false" customHeight="true" outlineLevel="0" collapsed="false">
      <c r="B11" s="15" t="s">
        <v>32</v>
      </c>
      <c r="C11" s="16" t="s">
        <v>43</v>
      </c>
      <c r="D11" s="17" t="s">
        <v>44</v>
      </c>
      <c r="E11" s="18"/>
      <c r="F11" s="18"/>
      <c r="G11" s="19"/>
    </row>
    <row r="12" customFormat="false" ht="27.75" hidden="false" customHeight="true" outlineLevel="0" collapsed="false">
      <c r="B12" s="10" t="s">
        <v>32</v>
      </c>
      <c r="C12" s="11" t="s">
        <v>45</v>
      </c>
      <c r="D12" s="12" t="s">
        <v>46</v>
      </c>
      <c r="E12" s="13"/>
      <c r="F12" s="13"/>
      <c r="G12" s="14"/>
    </row>
    <row r="13" customFormat="false" ht="27.75" hidden="false" customHeight="true" outlineLevel="0" collapsed="false">
      <c r="B13" s="15" t="s">
        <v>32</v>
      </c>
      <c r="C13" s="16" t="s">
        <v>47</v>
      </c>
      <c r="D13" s="17" t="s">
        <v>48</v>
      </c>
      <c r="E13" s="18"/>
      <c r="F13" s="18"/>
      <c r="G13" s="19"/>
    </row>
    <row r="14" customFormat="false" ht="27.75" hidden="false" customHeight="true" outlineLevel="0" collapsed="false">
      <c r="B14" s="10" t="s">
        <v>32</v>
      </c>
      <c r="C14" s="11" t="s">
        <v>49</v>
      </c>
      <c r="D14" s="12" t="s">
        <v>50</v>
      </c>
      <c r="E14" s="13"/>
      <c r="F14" s="13"/>
      <c r="G14" s="14"/>
    </row>
    <row r="15" customFormat="false" ht="27.75" hidden="false" customHeight="true" outlineLevel="0" collapsed="false">
      <c r="B15" s="15" t="s">
        <v>32</v>
      </c>
      <c r="C15" s="16" t="s">
        <v>51</v>
      </c>
      <c r="D15" s="17" t="s">
        <v>52</v>
      </c>
      <c r="E15" s="18"/>
      <c r="F15" s="18"/>
      <c r="G15" s="19"/>
    </row>
    <row r="16" customFormat="false" ht="27.75" hidden="false" customHeight="true" outlineLevel="0" collapsed="false">
      <c r="B16" s="10" t="s">
        <v>32</v>
      </c>
      <c r="C16" s="11" t="s">
        <v>53</v>
      </c>
      <c r="D16" s="12" t="s">
        <v>54</v>
      </c>
      <c r="E16" s="13"/>
      <c r="F16" s="13"/>
      <c r="G16" s="14"/>
    </row>
    <row r="17" customFormat="false" ht="27.75" hidden="false" customHeight="true" outlineLevel="0" collapsed="false">
      <c r="B17" s="15" t="s">
        <v>32</v>
      </c>
      <c r="C17" s="16" t="s">
        <v>55</v>
      </c>
      <c r="D17" s="17" t="s">
        <v>56</v>
      </c>
      <c r="E17" s="18"/>
      <c r="F17" s="18"/>
      <c r="G17" s="19"/>
    </row>
    <row r="18" customFormat="false" ht="27.75" hidden="false" customHeight="true" outlineLevel="0" collapsed="false">
      <c r="B18" s="10" t="s">
        <v>32</v>
      </c>
      <c r="C18" s="11" t="s">
        <v>57</v>
      </c>
      <c r="D18" s="12" t="s">
        <v>58</v>
      </c>
      <c r="E18" s="13"/>
      <c r="F18" s="13"/>
      <c r="G18" s="14"/>
    </row>
    <row r="19" customFormat="false" ht="27.75" hidden="false" customHeight="true" outlineLevel="0" collapsed="false">
      <c r="B19" s="15" t="s">
        <v>32</v>
      </c>
      <c r="C19" s="16" t="s">
        <v>59</v>
      </c>
      <c r="D19" s="17" t="s">
        <v>60</v>
      </c>
      <c r="E19" s="18"/>
      <c r="F19" s="18"/>
      <c r="G19" s="19"/>
    </row>
    <row r="20" customFormat="false" ht="27.75" hidden="false" customHeight="true" outlineLevel="0" collapsed="false">
      <c r="B20" s="10" t="s">
        <v>32</v>
      </c>
      <c r="C20" s="11" t="s">
        <v>61</v>
      </c>
      <c r="D20" s="12" t="s">
        <v>62</v>
      </c>
      <c r="E20" s="13"/>
      <c r="F20" s="13"/>
      <c r="G20" s="14"/>
    </row>
    <row r="21" customFormat="false" ht="27.75" hidden="false" customHeight="true" outlineLevel="0" collapsed="false">
      <c r="B21" s="15" t="s">
        <v>32</v>
      </c>
      <c r="C21" s="16" t="s">
        <v>63</v>
      </c>
      <c r="D21" s="17" t="s">
        <v>64</v>
      </c>
      <c r="E21" s="18"/>
      <c r="F21" s="18"/>
      <c r="G21" s="19"/>
    </row>
    <row r="23" customFormat="false" ht="24" hidden="false" customHeight="true" outlineLevel="0" collapsed="false">
      <c r="B23" s="9" t="s">
        <v>65</v>
      </c>
      <c r="C23" s="9"/>
      <c r="D23" s="9"/>
      <c r="E23" s="9"/>
      <c r="F23" s="9"/>
      <c r="G23" s="9"/>
    </row>
    <row r="24" customFormat="false" ht="27.75" hidden="false" customHeight="true" outlineLevel="0" collapsed="false">
      <c r="B24" s="10" t="s">
        <v>32</v>
      </c>
      <c r="C24" s="11" t="s">
        <v>66</v>
      </c>
      <c r="D24" s="12" t="s">
        <v>67</v>
      </c>
      <c r="E24" s="13"/>
      <c r="F24" s="13"/>
      <c r="G24" s="14"/>
    </row>
    <row r="25" customFormat="false" ht="27.75" hidden="false" customHeight="true" outlineLevel="0" collapsed="false">
      <c r="B25" s="15" t="s">
        <v>32</v>
      </c>
      <c r="C25" s="16" t="s">
        <v>68</v>
      </c>
      <c r="D25" s="17" t="s">
        <v>69</v>
      </c>
      <c r="E25" s="18"/>
      <c r="F25" s="18"/>
      <c r="G25" s="19"/>
    </row>
    <row r="26" customFormat="false" ht="27.75" hidden="false" customHeight="true" outlineLevel="0" collapsed="false">
      <c r="B26" s="10" t="s">
        <v>32</v>
      </c>
      <c r="C26" s="11" t="s">
        <v>70</v>
      </c>
      <c r="D26" s="12" t="s">
        <v>71</v>
      </c>
      <c r="E26" s="13"/>
      <c r="F26" s="13"/>
      <c r="G26" s="14"/>
    </row>
    <row r="27" customFormat="false" ht="27.75" hidden="false" customHeight="true" outlineLevel="0" collapsed="false">
      <c r="B27" s="15" t="s">
        <v>32</v>
      </c>
      <c r="C27" s="16" t="s">
        <v>72</v>
      </c>
      <c r="D27" s="17" t="s">
        <v>73</v>
      </c>
      <c r="E27" s="18"/>
      <c r="F27" s="18"/>
      <c r="G27" s="19"/>
    </row>
    <row r="28" customFormat="false" ht="27.75" hidden="false" customHeight="true" outlineLevel="0" collapsed="false">
      <c r="B28" s="10" t="s">
        <v>32</v>
      </c>
      <c r="C28" s="11" t="s">
        <v>74</v>
      </c>
      <c r="D28" s="12" t="s">
        <v>75</v>
      </c>
      <c r="E28" s="13"/>
      <c r="F28" s="13"/>
      <c r="G28" s="14"/>
    </row>
    <row r="29" customFormat="false" ht="27.75" hidden="false" customHeight="true" outlineLevel="0" collapsed="false">
      <c r="B29" s="15" t="s">
        <v>32</v>
      </c>
      <c r="C29" s="16" t="s">
        <v>76</v>
      </c>
      <c r="D29" s="17" t="s">
        <v>77</v>
      </c>
      <c r="E29" s="18"/>
      <c r="F29" s="18"/>
      <c r="G29" s="19"/>
    </row>
    <row r="30" customFormat="false" ht="27.75" hidden="false" customHeight="true" outlineLevel="0" collapsed="false">
      <c r="B30" s="10" t="s">
        <v>32</v>
      </c>
      <c r="C30" s="11" t="s">
        <v>78</v>
      </c>
      <c r="D30" s="12" t="s">
        <v>79</v>
      </c>
      <c r="E30" s="13"/>
      <c r="F30" s="13"/>
      <c r="G30" s="14"/>
    </row>
    <row r="31" customFormat="false" ht="27.75" hidden="false" customHeight="true" outlineLevel="0" collapsed="false">
      <c r="B31" s="15" t="s">
        <v>32</v>
      </c>
      <c r="C31" s="16" t="s">
        <v>80</v>
      </c>
      <c r="D31" s="17" t="s">
        <v>81</v>
      </c>
      <c r="E31" s="18"/>
      <c r="F31" s="18"/>
      <c r="G31" s="19"/>
    </row>
    <row r="32" customFormat="false" ht="27.75" hidden="false" customHeight="true" outlineLevel="0" collapsed="false">
      <c r="B32" s="10" t="s">
        <v>32</v>
      </c>
      <c r="C32" s="11" t="s">
        <v>82</v>
      </c>
      <c r="D32" s="12" t="s">
        <v>83</v>
      </c>
      <c r="E32" s="13"/>
      <c r="F32" s="13"/>
      <c r="G32" s="14"/>
    </row>
    <row r="34" customFormat="false" ht="24" hidden="false" customHeight="true" outlineLevel="0" collapsed="false">
      <c r="B34" s="9" t="s">
        <v>84</v>
      </c>
      <c r="C34" s="9"/>
      <c r="D34" s="9"/>
      <c r="E34" s="9"/>
      <c r="F34" s="9"/>
      <c r="G34" s="9"/>
    </row>
    <row r="35" customFormat="false" ht="27.75" hidden="false" customHeight="true" outlineLevel="0" collapsed="false">
      <c r="B35" s="15" t="s">
        <v>32</v>
      </c>
      <c r="C35" s="16" t="s">
        <v>85</v>
      </c>
      <c r="D35" s="17" t="s">
        <v>86</v>
      </c>
      <c r="E35" s="18"/>
      <c r="F35" s="18"/>
      <c r="G35" s="19"/>
    </row>
    <row r="36" customFormat="false" ht="27.75" hidden="false" customHeight="true" outlineLevel="0" collapsed="false">
      <c r="B36" s="10" t="s">
        <v>32</v>
      </c>
      <c r="C36" s="11" t="s">
        <v>87</v>
      </c>
      <c r="D36" s="12" t="s">
        <v>88</v>
      </c>
      <c r="E36" s="13"/>
      <c r="F36" s="13"/>
      <c r="G36" s="14"/>
    </row>
    <row r="37" customFormat="false" ht="27.75" hidden="false" customHeight="true" outlineLevel="0" collapsed="false">
      <c r="B37" s="15" t="s">
        <v>32</v>
      </c>
      <c r="C37" s="16" t="s">
        <v>89</v>
      </c>
      <c r="D37" s="17" t="s">
        <v>90</v>
      </c>
      <c r="E37" s="18"/>
      <c r="F37" s="18"/>
      <c r="G37" s="19"/>
    </row>
    <row r="38" customFormat="false" ht="27.75" hidden="false" customHeight="true" outlineLevel="0" collapsed="false">
      <c r="B38" s="10" t="s">
        <v>32</v>
      </c>
      <c r="C38" s="11" t="s">
        <v>91</v>
      </c>
      <c r="D38" s="12" t="s">
        <v>92</v>
      </c>
      <c r="E38" s="13"/>
      <c r="F38" s="13"/>
      <c r="G38" s="14"/>
    </row>
    <row r="39" customFormat="false" ht="27.75" hidden="false" customHeight="true" outlineLevel="0" collapsed="false">
      <c r="B39" s="15" t="s">
        <v>32</v>
      </c>
      <c r="C39" s="16" t="s">
        <v>93</v>
      </c>
      <c r="D39" s="17" t="s">
        <v>94</v>
      </c>
      <c r="E39" s="18"/>
      <c r="F39" s="18"/>
      <c r="G39" s="19"/>
    </row>
    <row r="40" customFormat="false" ht="27.75" hidden="false" customHeight="true" outlineLevel="0" collapsed="false">
      <c r="B40" s="10" t="s">
        <v>32</v>
      </c>
      <c r="C40" s="11" t="s">
        <v>95</v>
      </c>
      <c r="D40" s="12" t="s">
        <v>96</v>
      </c>
      <c r="E40" s="13"/>
      <c r="F40" s="13"/>
      <c r="G40" s="14"/>
    </row>
    <row r="41" customFormat="false" ht="27.75" hidden="false" customHeight="true" outlineLevel="0" collapsed="false">
      <c r="B41" s="15" t="s">
        <v>32</v>
      </c>
      <c r="C41" s="16" t="s">
        <v>97</v>
      </c>
      <c r="D41" s="17" t="s">
        <v>98</v>
      </c>
      <c r="E41" s="18"/>
      <c r="F41" s="18"/>
      <c r="G41" s="19"/>
    </row>
    <row r="42" customFormat="false" ht="27.75" hidden="false" customHeight="true" outlineLevel="0" collapsed="false">
      <c r="B42" s="10" t="s">
        <v>32</v>
      </c>
      <c r="C42" s="11" t="s">
        <v>99</v>
      </c>
      <c r="D42" s="12" t="s">
        <v>100</v>
      </c>
      <c r="E42" s="13"/>
      <c r="F42" s="13"/>
      <c r="G42" s="14"/>
    </row>
    <row r="43" customFormat="false" ht="27.75" hidden="false" customHeight="true" outlineLevel="0" collapsed="false">
      <c r="B43" s="15" t="s">
        <v>32</v>
      </c>
      <c r="C43" s="16" t="s">
        <v>101</v>
      </c>
      <c r="D43" s="17" t="s">
        <v>102</v>
      </c>
      <c r="E43" s="18"/>
      <c r="F43" s="18"/>
      <c r="G43" s="19"/>
    </row>
    <row r="45" customFormat="false" ht="24" hidden="false" customHeight="true" outlineLevel="0" collapsed="false">
      <c r="B45" s="9" t="s">
        <v>103</v>
      </c>
      <c r="C45" s="9"/>
      <c r="D45" s="9"/>
      <c r="E45" s="9"/>
      <c r="F45" s="9"/>
      <c r="G45" s="9"/>
    </row>
    <row r="46" customFormat="false" ht="27.75" hidden="false" customHeight="true" outlineLevel="0" collapsed="false">
      <c r="B46" s="10" t="s">
        <v>32</v>
      </c>
      <c r="C46" s="11" t="s">
        <v>104</v>
      </c>
      <c r="D46" s="12" t="s">
        <v>105</v>
      </c>
      <c r="E46" s="13"/>
      <c r="F46" s="13"/>
      <c r="G46" s="14"/>
    </row>
    <row r="47" customFormat="false" ht="27.75" hidden="false" customHeight="true" outlineLevel="0" collapsed="false">
      <c r="B47" s="15" t="s">
        <v>32</v>
      </c>
      <c r="C47" s="16" t="s">
        <v>106</v>
      </c>
      <c r="D47" s="17" t="s">
        <v>107</v>
      </c>
      <c r="E47" s="18"/>
      <c r="F47" s="18"/>
      <c r="G47" s="19"/>
    </row>
    <row r="48" customFormat="false" ht="27.75" hidden="false" customHeight="true" outlineLevel="0" collapsed="false">
      <c r="B48" s="10" t="s">
        <v>32</v>
      </c>
      <c r="C48" s="11" t="s">
        <v>108</v>
      </c>
      <c r="D48" s="12" t="s">
        <v>109</v>
      </c>
      <c r="E48" s="13"/>
      <c r="F48" s="13"/>
      <c r="G48" s="14"/>
    </row>
    <row r="49" customFormat="false" ht="27.75" hidden="false" customHeight="true" outlineLevel="0" collapsed="false">
      <c r="B49" s="15" t="s">
        <v>32</v>
      </c>
      <c r="C49" s="16" t="s">
        <v>110</v>
      </c>
      <c r="D49" s="17" t="s">
        <v>111</v>
      </c>
      <c r="E49" s="18"/>
      <c r="F49" s="18"/>
      <c r="G49" s="19"/>
    </row>
    <row r="50" customFormat="false" ht="27.75" hidden="false" customHeight="true" outlineLevel="0" collapsed="false">
      <c r="B50" s="10" t="s">
        <v>32</v>
      </c>
      <c r="C50" s="11" t="s">
        <v>112</v>
      </c>
      <c r="D50" s="12" t="s">
        <v>113</v>
      </c>
      <c r="E50" s="13"/>
      <c r="F50" s="13"/>
      <c r="G50" s="14"/>
    </row>
    <row r="51" customFormat="false" ht="27.75" hidden="false" customHeight="true" outlineLevel="0" collapsed="false">
      <c r="B51" s="15" t="s">
        <v>32</v>
      </c>
      <c r="C51" s="16" t="s">
        <v>114</v>
      </c>
      <c r="D51" s="17" t="s">
        <v>115</v>
      </c>
      <c r="E51" s="18"/>
      <c r="F51" s="18"/>
      <c r="G51" s="19"/>
    </row>
    <row r="52" customFormat="false" ht="27.75" hidden="false" customHeight="true" outlineLevel="0" collapsed="false">
      <c r="B52" s="10" t="s">
        <v>32</v>
      </c>
      <c r="C52" s="11" t="s">
        <v>116</v>
      </c>
      <c r="D52" s="12" t="s">
        <v>117</v>
      </c>
      <c r="E52" s="13"/>
      <c r="F52" s="13"/>
      <c r="G52" s="14"/>
    </row>
    <row r="53" customFormat="false" ht="27.75" hidden="false" customHeight="true" outlineLevel="0" collapsed="false">
      <c r="B53" s="15" t="s">
        <v>32</v>
      </c>
      <c r="C53" s="16" t="s">
        <v>118</v>
      </c>
      <c r="D53" s="17" t="s">
        <v>119</v>
      </c>
      <c r="E53" s="18"/>
      <c r="F53" s="18"/>
      <c r="G53" s="19"/>
    </row>
    <row r="54" customFormat="false" ht="27.75" hidden="false" customHeight="true" outlineLevel="0" collapsed="false">
      <c r="B54" s="10" t="s">
        <v>32</v>
      </c>
      <c r="C54" s="11" t="s">
        <v>120</v>
      </c>
      <c r="D54" s="12" t="s">
        <v>121</v>
      </c>
      <c r="E54" s="13"/>
      <c r="F54" s="13"/>
      <c r="G54" s="14"/>
    </row>
    <row r="55" customFormat="false" ht="27.75" hidden="false" customHeight="true" outlineLevel="0" collapsed="false">
      <c r="B55" s="15" t="s">
        <v>32</v>
      </c>
      <c r="C55" s="16" t="s">
        <v>122</v>
      </c>
      <c r="D55" s="17" t="s">
        <v>123</v>
      </c>
      <c r="E55" s="18"/>
      <c r="F55" s="18"/>
      <c r="G55" s="19"/>
    </row>
    <row r="57" customFormat="false" ht="24" hidden="false" customHeight="true" outlineLevel="0" collapsed="false">
      <c r="B57" s="9" t="s">
        <v>124</v>
      </c>
      <c r="C57" s="9"/>
      <c r="D57" s="9"/>
      <c r="E57" s="9"/>
      <c r="F57" s="9"/>
      <c r="G57" s="9"/>
    </row>
    <row r="58" customFormat="false" ht="27.75" hidden="false" customHeight="true" outlineLevel="0" collapsed="false">
      <c r="B58" s="10" t="s">
        <v>32</v>
      </c>
      <c r="C58" s="11" t="s">
        <v>125</v>
      </c>
      <c r="D58" s="12" t="s">
        <v>126</v>
      </c>
      <c r="E58" s="13"/>
      <c r="F58" s="13"/>
      <c r="G58" s="14"/>
    </row>
    <row r="59" customFormat="false" ht="27.75" hidden="false" customHeight="true" outlineLevel="0" collapsed="false">
      <c r="B59" s="15" t="s">
        <v>32</v>
      </c>
      <c r="C59" s="16" t="s">
        <v>127</v>
      </c>
      <c r="D59" s="17" t="s">
        <v>128</v>
      </c>
      <c r="E59" s="18"/>
      <c r="F59" s="18"/>
      <c r="G59" s="19"/>
    </row>
    <row r="60" customFormat="false" ht="27.75" hidden="false" customHeight="true" outlineLevel="0" collapsed="false">
      <c r="B60" s="10" t="s">
        <v>32</v>
      </c>
      <c r="C60" s="11" t="s">
        <v>129</v>
      </c>
      <c r="D60" s="12" t="s">
        <v>130</v>
      </c>
      <c r="E60" s="13"/>
      <c r="F60" s="13"/>
      <c r="G60" s="14"/>
    </row>
    <row r="61" customFormat="false" ht="27.75" hidden="false" customHeight="true" outlineLevel="0" collapsed="false">
      <c r="B61" s="15" t="s">
        <v>32</v>
      </c>
      <c r="C61" s="16" t="s">
        <v>131</v>
      </c>
      <c r="D61" s="17" t="s">
        <v>132</v>
      </c>
      <c r="E61" s="18"/>
      <c r="F61" s="18"/>
      <c r="G61" s="19"/>
    </row>
    <row r="62" customFormat="false" ht="27.75" hidden="false" customHeight="true" outlineLevel="0" collapsed="false">
      <c r="B62" s="10" t="s">
        <v>32</v>
      </c>
      <c r="C62" s="11" t="s">
        <v>133</v>
      </c>
      <c r="D62" s="12" t="s">
        <v>134</v>
      </c>
      <c r="E62" s="13"/>
      <c r="F62" s="13"/>
      <c r="G62" s="14"/>
    </row>
    <row r="63" customFormat="false" ht="27.75" hidden="false" customHeight="true" outlineLevel="0" collapsed="false">
      <c r="B63" s="15" t="s">
        <v>32</v>
      </c>
      <c r="C63" s="16" t="s">
        <v>135</v>
      </c>
      <c r="D63" s="17" t="s">
        <v>136</v>
      </c>
      <c r="E63" s="18"/>
      <c r="F63" s="18"/>
      <c r="G63" s="19"/>
    </row>
    <row r="64" customFormat="false" ht="27.75" hidden="false" customHeight="true" outlineLevel="0" collapsed="false">
      <c r="B64" s="10" t="s">
        <v>32</v>
      </c>
      <c r="C64" s="11" t="s">
        <v>137</v>
      </c>
      <c r="D64" s="12" t="s">
        <v>138</v>
      </c>
      <c r="E64" s="13"/>
      <c r="F64" s="13"/>
      <c r="G64" s="14"/>
    </row>
    <row r="66" customFormat="false" ht="24" hidden="false" customHeight="true" outlineLevel="0" collapsed="false">
      <c r="B66" s="9" t="s">
        <v>139</v>
      </c>
      <c r="C66" s="9"/>
      <c r="D66" s="9"/>
      <c r="E66" s="9"/>
      <c r="F66" s="9"/>
      <c r="G66" s="9"/>
    </row>
    <row r="67" customFormat="false" ht="27.75" hidden="false" customHeight="true" outlineLevel="0" collapsed="false">
      <c r="B67" s="15" t="s">
        <v>32</v>
      </c>
      <c r="C67" s="16" t="s">
        <v>140</v>
      </c>
      <c r="D67" s="17" t="s">
        <v>141</v>
      </c>
      <c r="E67" s="18"/>
      <c r="F67" s="18"/>
      <c r="G67" s="19"/>
    </row>
    <row r="68" customFormat="false" ht="27.75" hidden="false" customHeight="true" outlineLevel="0" collapsed="false">
      <c r="B68" s="10" t="s">
        <v>32</v>
      </c>
      <c r="C68" s="11" t="s">
        <v>142</v>
      </c>
      <c r="D68" s="12" t="s">
        <v>143</v>
      </c>
      <c r="E68" s="13"/>
      <c r="F68" s="13"/>
      <c r="G68" s="14"/>
    </row>
    <row r="69" customFormat="false" ht="27.75" hidden="false" customHeight="true" outlineLevel="0" collapsed="false">
      <c r="B69" s="15" t="s">
        <v>32</v>
      </c>
      <c r="C69" s="16" t="s">
        <v>144</v>
      </c>
      <c r="D69" s="17" t="s">
        <v>145</v>
      </c>
      <c r="E69" s="18"/>
      <c r="F69" s="18"/>
      <c r="G69" s="19"/>
    </row>
    <row r="70" customFormat="false" ht="27.75" hidden="false" customHeight="true" outlineLevel="0" collapsed="false">
      <c r="B70" s="10" t="s">
        <v>32</v>
      </c>
      <c r="C70" s="11" t="s">
        <v>146</v>
      </c>
      <c r="D70" s="12" t="s">
        <v>147</v>
      </c>
      <c r="E70" s="13"/>
      <c r="F70" s="13"/>
      <c r="G70" s="14"/>
    </row>
    <row r="71" customFormat="false" ht="27.75" hidden="false" customHeight="true" outlineLevel="0" collapsed="false">
      <c r="B71" s="15" t="s">
        <v>32</v>
      </c>
      <c r="C71" s="16" t="s">
        <v>148</v>
      </c>
      <c r="D71" s="17" t="s">
        <v>149</v>
      </c>
      <c r="E71" s="18"/>
      <c r="F71" s="18"/>
      <c r="G71" s="19"/>
    </row>
    <row r="72" customFormat="false" ht="27.75" hidden="false" customHeight="true" outlineLevel="0" collapsed="false">
      <c r="B72" s="10" t="s">
        <v>32</v>
      </c>
      <c r="C72" s="11" t="s">
        <v>150</v>
      </c>
      <c r="D72" s="12" t="s">
        <v>151</v>
      </c>
      <c r="E72" s="13"/>
      <c r="F72" s="13"/>
      <c r="G72" s="14"/>
    </row>
    <row r="73" customFormat="false" ht="27.75" hidden="false" customHeight="true" outlineLevel="0" collapsed="false">
      <c r="B73" s="15" t="s">
        <v>32</v>
      </c>
      <c r="C73" s="16" t="s">
        <v>152</v>
      </c>
      <c r="D73" s="17" t="s">
        <v>153</v>
      </c>
      <c r="E73" s="18"/>
      <c r="F73" s="18"/>
      <c r="G73" s="19"/>
    </row>
    <row r="75" customFormat="false" ht="24" hidden="false" customHeight="true" outlineLevel="0" collapsed="false">
      <c r="B75" s="9" t="s">
        <v>154</v>
      </c>
      <c r="C75" s="9"/>
      <c r="D75" s="9"/>
      <c r="E75" s="9"/>
      <c r="F75" s="9"/>
      <c r="G75" s="9"/>
    </row>
    <row r="76" customFormat="false" ht="27.75" hidden="false" customHeight="true" outlineLevel="0" collapsed="false">
      <c r="B76" s="10" t="s">
        <v>32</v>
      </c>
      <c r="C76" s="11" t="s">
        <v>155</v>
      </c>
      <c r="D76" s="12" t="s">
        <v>156</v>
      </c>
      <c r="E76" s="13"/>
      <c r="F76" s="13"/>
      <c r="G76" s="14"/>
    </row>
    <row r="77" customFormat="false" ht="27.75" hidden="false" customHeight="true" outlineLevel="0" collapsed="false">
      <c r="B77" s="15" t="s">
        <v>32</v>
      </c>
      <c r="C77" s="16" t="s">
        <v>157</v>
      </c>
      <c r="D77" s="17" t="s">
        <v>158</v>
      </c>
      <c r="E77" s="18"/>
      <c r="F77" s="18"/>
      <c r="G77" s="19"/>
    </row>
    <row r="78" customFormat="false" ht="27.75" hidden="false" customHeight="true" outlineLevel="0" collapsed="false">
      <c r="B78" s="10" t="s">
        <v>32</v>
      </c>
      <c r="C78" s="11" t="s">
        <v>159</v>
      </c>
      <c r="D78" s="12" t="s">
        <v>160</v>
      </c>
      <c r="E78" s="13"/>
      <c r="F78" s="13"/>
      <c r="G78" s="14"/>
    </row>
    <row r="79" customFormat="false" ht="27.75" hidden="false" customHeight="true" outlineLevel="0" collapsed="false">
      <c r="B79" s="15" t="s">
        <v>32</v>
      </c>
      <c r="C79" s="16" t="s">
        <v>161</v>
      </c>
      <c r="D79" s="17" t="s">
        <v>162</v>
      </c>
      <c r="E79" s="18"/>
      <c r="F79" s="18"/>
      <c r="G79" s="19"/>
    </row>
    <row r="81" customFormat="false" ht="24" hidden="false" customHeight="true" outlineLevel="0" collapsed="false">
      <c r="B81" s="9" t="s">
        <v>163</v>
      </c>
      <c r="C81" s="9"/>
      <c r="D81" s="9"/>
      <c r="E81" s="9"/>
      <c r="F81" s="9"/>
      <c r="G81" s="9"/>
    </row>
    <row r="82" customFormat="false" ht="27.75" hidden="false" customHeight="true" outlineLevel="0" collapsed="false">
      <c r="B82" s="10" t="s">
        <v>32</v>
      </c>
      <c r="C82" s="11" t="s">
        <v>164</v>
      </c>
      <c r="D82" s="12" t="s">
        <v>165</v>
      </c>
      <c r="E82" s="13"/>
      <c r="F82" s="13"/>
      <c r="G82" s="14"/>
    </row>
    <row r="83" customFormat="false" ht="27.75" hidden="false" customHeight="true" outlineLevel="0" collapsed="false">
      <c r="B83" s="15" t="s">
        <v>32</v>
      </c>
      <c r="C83" s="16" t="s">
        <v>166</v>
      </c>
      <c r="D83" s="17" t="s">
        <v>167</v>
      </c>
      <c r="E83" s="18"/>
      <c r="F83" s="18"/>
      <c r="G83" s="19"/>
    </row>
    <row r="84" customFormat="false" ht="27.75" hidden="false" customHeight="true" outlineLevel="0" collapsed="false">
      <c r="B84" s="10" t="s">
        <v>32</v>
      </c>
      <c r="C84" s="11" t="s">
        <v>168</v>
      </c>
      <c r="D84" s="12" t="s">
        <v>169</v>
      </c>
      <c r="E84" s="13"/>
      <c r="F84" s="13"/>
      <c r="G84" s="14"/>
    </row>
    <row r="85" customFormat="false" ht="27.75" hidden="false" customHeight="true" outlineLevel="0" collapsed="false">
      <c r="B85" s="15" t="s">
        <v>32</v>
      </c>
      <c r="C85" s="16" t="s">
        <v>170</v>
      </c>
      <c r="D85" s="17" t="s">
        <v>171</v>
      </c>
      <c r="E85" s="18"/>
      <c r="F85" s="18"/>
      <c r="G85" s="19"/>
    </row>
    <row r="86" customFormat="false" ht="27.75" hidden="false" customHeight="true" outlineLevel="0" collapsed="false">
      <c r="B86" s="10" t="s">
        <v>32</v>
      </c>
      <c r="C86" s="11" t="s">
        <v>172</v>
      </c>
      <c r="D86" s="12" t="s">
        <v>173</v>
      </c>
      <c r="E86" s="13"/>
      <c r="F86" s="13"/>
      <c r="G86" s="14"/>
    </row>
    <row r="88" customFormat="false" ht="24" hidden="false" customHeight="true" outlineLevel="0" collapsed="false">
      <c r="B88" s="9" t="s">
        <v>174</v>
      </c>
      <c r="C88" s="9"/>
      <c r="D88" s="9"/>
      <c r="E88" s="9"/>
      <c r="F88" s="9"/>
      <c r="G88" s="9"/>
    </row>
    <row r="89" customFormat="false" ht="27.75" hidden="false" customHeight="true" outlineLevel="0" collapsed="false">
      <c r="B89" s="15" t="s">
        <v>32</v>
      </c>
      <c r="C89" s="16" t="s">
        <v>175</v>
      </c>
      <c r="D89" s="17" t="s">
        <v>176</v>
      </c>
      <c r="E89" s="18"/>
      <c r="F89" s="18"/>
      <c r="G89" s="19"/>
    </row>
    <row r="90" customFormat="false" ht="27.75" hidden="false" customHeight="true" outlineLevel="0" collapsed="false">
      <c r="B90" s="10" t="s">
        <v>32</v>
      </c>
      <c r="C90" s="11" t="s">
        <v>177</v>
      </c>
      <c r="D90" s="12" t="s">
        <v>178</v>
      </c>
      <c r="E90" s="13"/>
      <c r="F90" s="13"/>
      <c r="G90" s="14"/>
    </row>
    <row r="91" customFormat="false" ht="27.75" hidden="false" customHeight="true" outlineLevel="0" collapsed="false">
      <c r="B91" s="15" t="s">
        <v>32</v>
      </c>
      <c r="C91" s="16" t="s">
        <v>179</v>
      </c>
      <c r="D91" s="17" t="s">
        <v>180</v>
      </c>
      <c r="E91" s="18"/>
      <c r="F91" s="18"/>
      <c r="G91" s="19"/>
    </row>
    <row r="93" customFormat="false" ht="24" hidden="false" customHeight="true" outlineLevel="0" collapsed="false">
      <c r="B93" s="9" t="s">
        <v>181</v>
      </c>
      <c r="C93" s="9"/>
      <c r="D93" s="9"/>
      <c r="E93" s="9"/>
      <c r="F93" s="9"/>
      <c r="G93" s="9"/>
    </row>
    <row r="94" customFormat="false" ht="27.75" hidden="false" customHeight="true" outlineLevel="0" collapsed="false">
      <c r="B94" s="10" t="s">
        <v>32</v>
      </c>
      <c r="C94" s="11" t="s">
        <v>182</v>
      </c>
      <c r="D94" s="12" t="s">
        <v>183</v>
      </c>
      <c r="E94" s="13"/>
      <c r="F94" s="13"/>
      <c r="G94" s="14"/>
    </row>
    <row r="95" customFormat="false" ht="27.75" hidden="false" customHeight="true" outlineLevel="0" collapsed="false">
      <c r="B95" s="15" t="s">
        <v>32</v>
      </c>
      <c r="C95" s="16" t="s">
        <v>184</v>
      </c>
      <c r="D95" s="17" t="s">
        <v>185</v>
      </c>
      <c r="E95" s="18"/>
      <c r="F95" s="18"/>
      <c r="G95" s="19"/>
    </row>
    <row r="96" customFormat="false" ht="27.75" hidden="false" customHeight="true" outlineLevel="0" collapsed="false">
      <c r="B96" s="10" t="s">
        <v>32</v>
      </c>
      <c r="C96" s="11" t="s">
        <v>186</v>
      </c>
      <c r="D96" s="12" t="s">
        <v>187</v>
      </c>
      <c r="E96" s="13"/>
      <c r="F96" s="13"/>
      <c r="G96" s="14"/>
    </row>
    <row r="98" customFormat="false" ht="30" hidden="false" customHeight="true" outlineLevel="0" collapsed="false">
      <c r="B98" s="20" t="s">
        <v>188</v>
      </c>
      <c r="C98" s="20"/>
      <c r="D98" s="20"/>
      <c r="E98" s="21" t="n">
        <f aca="false">SUM(E5:E97)</f>
        <v>0</v>
      </c>
      <c r="F98" s="21" t="n">
        <f aca="false">SUM(F5:F97)</f>
        <v>0</v>
      </c>
      <c r="G98" s="22"/>
    </row>
  </sheetData>
  <mergeCells count="13">
    <mergeCell ref="B2:G2"/>
    <mergeCell ref="B3:G3"/>
    <mergeCell ref="B5:G5"/>
    <mergeCell ref="B23:G23"/>
    <mergeCell ref="B34:G34"/>
    <mergeCell ref="B45:G45"/>
    <mergeCell ref="B57:G57"/>
    <mergeCell ref="B66:G66"/>
    <mergeCell ref="B75:G75"/>
    <mergeCell ref="B81:G81"/>
    <mergeCell ref="B88:G88"/>
    <mergeCell ref="B93:G93"/>
    <mergeCell ref="B98:D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45"/>
    <col collapsed="false" customWidth="true" hidden="false" outlineLevel="0" max="6" min="5" style="0" width="16"/>
    <col collapsed="false" customWidth="true" hidden="false" outlineLevel="0" max="7" min="7" style="0" width="14"/>
  </cols>
  <sheetData>
    <row r="2" customFormat="false" ht="30" hidden="false" customHeight="true" outlineLevel="0" collapsed="false">
      <c r="B2" s="6" t="s">
        <v>189</v>
      </c>
      <c r="C2" s="6"/>
      <c r="D2" s="6"/>
      <c r="E2" s="6"/>
      <c r="F2" s="6"/>
      <c r="G2" s="6"/>
    </row>
    <row r="3" customFormat="false" ht="21.75" hidden="false" customHeight="true" outlineLevel="0" collapsed="false">
      <c r="B3" s="7" t="s">
        <v>190</v>
      </c>
      <c r="C3" s="7"/>
      <c r="D3" s="7"/>
      <c r="E3" s="7"/>
      <c r="F3" s="7"/>
      <c r="G3" s="7"/>
    </row>
    <row r="4" customFormat="false" ht="27.75" hidden="false" customHeight="true" outlineLevel="0" collapsed="false"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</row>
    <row r="5" customFormat="false" ht="24" hidden="false" customHeight="true" outlineLevel="0" collapsed="false">
      <c r="B5" s="9" t="s">
        <v>191</v>
      </c>
      <c r="C5" s="9"/>
      <c r="D5" s="9"/>
      <c r="E5" s="9"/>
      <c r="F5" s="9"/>
      <c r="G5" s="9"/>
    </row>
    <row r="6" customFormat="false" ht="27.75" hidden="false" customHeight="true" outlineLevel="0" collapsed="false">
      <c r="B6" s="23" t="s">
        <v>32</v>
      </c>
      <c r="C6" s="24" t="s">
        <v>192</v>
      </c>
      <c r="D6" s="25" t="s">
        <v>193</v>
      </c>
      <c r="E6" s="26"/>
      <c r="F6" s="26"/>
      <c r="G6" s="27"/>
    </row>
    <row r="7" customFormat="false" ht="27.75" hidden="false" customHeight="true" outlineLevel="0" collapsed="false">
      <c r="B7" s="15" t="s">
        <v>32</v>
      </c>
      <c r="C7" s="16" t="s">
        <v>194</v>
      </c>
      <c r="D7" s="17" t="s">
        <v>195</v>
      </c>
      <c r="E7" s="18"/>
      <c r="F7" s="18"/>
      <c r="G7" s="19"/>
    </row>
    <row r="8" customFormat="false" ht="27.75" hidden="false" customHeight="true" outlineLevel="0" collapsed="false">
      <c r="B8" s="23" t="s">
        <v>32</v>
      </c>
      <c r="C8" s="24" t="s">
        <v>196</v>
      </c>
      <c r="D8" s="25" t="s">
        <v>197</v>
      </c>
      <c r="E8" s="26"/>
      <c r="F8" s="26"/>
      <c r="G8" s="27"/>
    </row>
    <row r="9" customFormat="false" ht="27.75" hidden="false" customHeight="true" outlineLevel="0" collapsed="false">
      <c r="B9" s="15" t="s">
        <v>32</v>
      </c>
      <c r="C9" s="16" t="s">
        <v>198</v>
      </c>
      <c r="D9" s="17" t="s">
        <v>199</v>
      </c>
      <c r="E9" s="18"/>
      <c r="F9" s="18"/>
      <c r="G9" s="19"/>
    </row>
    <row r="10" customFormat="false" ht="27.75" hidden="false" customHeight="true" outlineLevel="0" collapsed="false">
      <c r="B10" s="23" t="s">
        <v>32</v>
      </c>
      <c r="C10" s="24" t="s">
        <v>200</v>
      </c>
      <c r="D10" s="25" t="s">
        <v>201</v>
      </c>
      <c r="E10" s="26"/>
      <c r="F10" s="26"/>
      <c r="G10" s="27"/>
    </row>
    <row r="11" customFormat="false" ht="27.75" hidden="false" customHeight="true" outlineLevel="0" collapsed="false">
      <c r="B11" s="15" t="s">
        <v>32</v>
      </c>
      <c r="C11" s="16" t="s">
        <v>202</v>
      </c>
      <c r="D11" s="17" t="s">
        <v>203</v>
      </c>
      <c r="E11" s="18"/>
      <c r="F11" s="18"/>
      <c r="G11" s="19"/>
    </row>
    <row r="12" customFormat="false" ht="27.75" hidden="false" customHeight="true" outlineLevel="0" collapsed="false">
      <c r="B12" s="23" t="s">
        <v>32</v>
      </c>
      <c r="C12" s="24" t="s">
        <v>204</v>
      </c>
      <c r="D12" s="25" t="s">
        <v>205</v>
      </c>
      <c r="E12" s="26"/>
      <c r="F12" s="26"/>
      <c r="G12" s="27"/>
    </row>
    <row r="13" customFormat="false" ht="27.75" hidden="false" customHeight="true" outlineLevel="0" collapsed="false">
      <c r="B13" s="15" t="s">
        <v>32</v>
      </c>
      <c r="C13" s="16" t="s">
        <v>206</v>
      </c>
      <c r="D13" s="17" t="s">
        <v>207</v>
      </c>
      <c r="E13" s="18"/>
      <c r="F13" s="18"/>
      <c r="G13" s="19"/>
    </row>
    <row r="15" customFormat="false" ht="24" hidden="false" customHeight="true" outlineLevel="0" collapsed="false">
      <c r="B15" s="9" t="s">
        <v>208</v>
      </c>
      <c r="C15" s="9"/>
      <c r="D15" s="9"/>
      <c r="E15" s="9"/>
      <c r="F15" s="9"/>
      <c r="G15" s="9"/>
    </row>
    <row r="16" customFormat="false" ht="27.75" hidden="false" customHeight="true" outlineLevel="0" collapsed="false">
      <c r="B16" s="23" t="s">
        <v>32</v>
      </c>
      <c r="C16" s="24" t="s">
        <v>209</v>
      </c>
      <c r="D16" s="25" t="s">
        <v>210</v>
      </c>
      <c r="E16" s="26"/>
      <c r="F16" s="26"/>
      <c r="G16" s="27"/>
    </row>
    <row r="17" customFormat="false" ht="27.75" hidden="false" customHeight="true" outlineLevel="0" collapsed="false">
      <c r="B17" s="15" t="s">
        <v>32</v>
      </c>
      <c r="C17" s="16" t="s">
        <v>211</v>
      </c>
      <c r="D17" s="17" t="s">
        <v>212</v>
      </c>
      <c r="E17" s="18"/>
      <c r="F17" s="18"/>
      <c r="G17" s="19"/>
    </row>
    <row r="18" customFormat="false" ht="27.75" hidden="false" customHeight="true" outlineLevel="0" collapsed="false">
      <c r="B18" s="23" t="s">
        <v>32</v>
      </c>
      <c r="C18" s="24" t="s">
        <v>213</v>
      </c>
      <c r="D18" s="25" t="s">
        <v>214</v>
      </c>
      <c r="E18" s="26"/>
      <c r="F18" s="26"/>
      <c r="G18" s="27"/>
    </row>
    <row r="19" customFormat="false" ht="27.75" hidden="false" customHeight="true" outlineLevel="0" collapsed="false">
      <c r="B19" s="15" t="s">
        <v>32</v>
      </c>
      <c r="C19" s="16" t="s">
        <v>215</v>
      </c>
      <c r="D19" s="17" t="s">
        <v>216</v>
      </c>
      <c r="E19" s="18"/>
      <c r="F19" s="18"/>
      <c r="G19" s="19"/>
    </row>
    <row r="21" customFormat="false" ht="24" hidden="false" customHeight="true" outlineLevel="0" collapsed="false">
      <c r="B21" s="9" t="s">
        <v>217</v>
      </c>
      <c r="C21" s="9"/>
      <c r="D21" s="9"/>
      <c r="E21" s="9"/>
      <c r="F21" s="9"/>
      <c r="G21" s="9"/>
    </row>
    <row r="22" customFormat="false" ht="27.75" hidden="false" customHeight="true" outlineLevel="0" collapsed="false">
      <c r="B22" s="23" t="s">
        <v>32</v>
      </c>
      <c r="C22" s="24" t="s">
        <v>218</v>
      </c>
      <c r="D22" s="25" t="s">
        <v>219</v>
      </c>
      <c r="E22" s="26"/>
      <c r="F22" s="26"/>
      <c r="G22" s="27"/>
    </row>
    <row r="23" customFormat="false" ht="27.75" hidden="false" customHeight="true" outlineLevel="0" collapsed="false">
      <c r="B23" s="15" t="s">
        <v>32</v>
      </c>
      <c r="C23" s="16" t="s">
        <v>220</v>
      </c>
      <c r="D23" s="17" t="s">
        <v>221</v>
      </c>
      <c r="E23" s="18"/>
      <c r="F23" s="18"/>
      <c r="G23" s="19"/>
    </row>
    <row r="24" customFormat="false" ht="27.75" hidden="false" customHeight="true" outlineLevel="0" collapsed="false">
      <c r="B24" s="23" t="s">
        <v>32</v>
      </c>
      <c r="C24" s="24" t="s">
        <v>222</v>
      </c>
      <c r="D24" s="25" t="s">
        <v>223</v>
      </c>
      <c r="E24" s="26"/>
      <c r="F24" s="26"/>
      <c r="G24" s="27"/>
    </row>
    <row r="25" customFormat="false" ht="27.75" hidden="false" customHeight="true" outlineLevel="0" collapsed="false">
      <c r="B25" s="15" t="s">
        <v>32</v>
      </c>
      <c r="C25" s="16" t="s">
        <v>224</v>
      </c>
      <c r="D25" s="17" t="s">
        <v>225</v>
      </c>
      <c r="E25" s="18"/>
      <c r="F25" s="18"/>
      <c r="G25" s="19"/>
    </row>
    <row r="26" customFormat="false" ht="27.75" hidden="false" customHeight="true" outlineLevel="0" collapsed="false">
      <c r="B26" s="23" t="s">
        <v>32</v>
      </c>
      <c r="C26" s="24" t="s">
        <v>226</v>
      </c>
      <c r="D26" s="25" t="s">
        <v>227</v>
      </c>
      <c r="E26" s="26"/>
      <c r="F26" s="26"/>
      <c r="G26" s="27"/>
    </row>
    <row r="28" customFormat="false" ht="24" hidden="false" customHeight="true" outlineLevel="0" collapsed="false">
      <c r="B28" s="9" t="s">
        <v>228</v>
      </c>
      <c r="C28" s="9"/>
      <c r="D28" s="9"/>
      <c r="E28" s="9"/>
      <c r="F28" s="9"/>
      <c r="G28" s="9"/>
    </row>
    <row r="29" customFormat="false" ht="27.75" hidden="false" customHeight="true" outlineLevel="0" collapsed="false">
      <c r="B29" s="15" t="s">
        <v>32</v>
      </c>
      <c r="C29" s="16" t="s">
        <v>229</v>
      </c>
      <c r="D29" s="17" t="s">
        <v>230</v>
      </c>
      <c r="E29" s="18"/>
      <c r="F29" s="18"/>
      <c r="G29" s="19"/>
    </row>
    <row r="30" customFormat="false" ht="27.75" hidden="false" customHeight="true" outlineLevel="0" collapsed="false">
      <c r="B30" s="23" t="s">
        <v>32</v>
      </c>
      <c r="C30" s="24" t="s">
        <v>231</v>
      </c>
      <c r="D30" s="25" t="s">
        <v>232</v>
      </c>
      <c r="E30" s="26"/>
      <c r="F30" s="26"/>
      <c r="G30" s="27"/>
    </row>
    <row r="31" customFormat="false" ht="27.75" hidden="false" customHeight="true" outlineLevel="0" collapsed="false">
      <c r="B31" s="15" t="s">
        <v>32</v>
      </c>
      <c r="C31" s="16" t="s">
        <v>233</v>
      </c>
      <c r="D31" s="17" t="s">
        <v>234</v>
      </c>
      <c r="E31" s="18"/>
      <c r="F31" s="18"/>
      <c r="G31" s="19"/>
    </row>
    <row r="32" customFormat="false" ht="27.75" hidden="false" customHeight="true" outlineLevel="0" collapsed="false">
      <c r="B32" s="23" t="s">
        <v>32</v>
      </c>
      <c r="C32" s="24" t="s">
        <v>235</v>
      </c>
      <c r="D32" s="25" t="s">
        <v>236</v>
      </c>
      <c r="E32" s="26"/>
      <c r="F32" s="26"/>
      <c r="G32" s="27"/>
    </row>
    <row r="33" customFormat="false" ht="27.75" hidden="false" customHeight="true" outlineLevel="0" collapsed="false">
      <c r="B33" s="15" t="s">
        <v>32</v>
      </c>
      <c r="C33" s="16" t="s">
        <v>237</v>
      </c>
      <c r="D33" s="17" t="s">
        <v>238</v>
      </c>
      <c r="E33" s="18"/>
      <c r="F33" s="18"/>
      <c r="G33" s="19"/>
    </row>
    <row r="35" customFormat="false" ht="24" hidden="false" customHeight="true" outlineLevel="0" collapsed="false">
      <c r="B35" s="9" t="s">
        <v>239</v>
      </c>
      <c r="C35" s="9"/>
      <c r="D35" s="9"/>
      <c r="E35" s="9"/>
      <c r="F35" s="9"/>
      <c r="G35" s="9"/>
    </row>
    <row r="36" customFormat="false" ht="27.75" hidden="false" customHeight="true" outlineLevel="0" collapsed="false">
      <c r="B36" s="23" t="s">
        <v>32</v>
      </c>
      <c r="C36" s="24" t="s">
        <v>240</v>
      </c>
      <c r="D36" s="25" t="s">
        <v>241</v>
      </c>
      <c r="E36" s="26"/>
      <c r="F36" s="26"/>
      <c r="G36" s="27"/>
    </row>
    <row r="37" customFormat="false" ht="27.75" hidden="false" customHeight="true" outlineLevel="0" collapsed="false">
      <c r="B37" s="15" t="s">
        <v>32</v>
      </c>
      <c r="C37" s="16" t="s">
        <v>242</v>
      </c>
      <c r="D37" s="17" t="s">
        <v>243</v>
      </c>
      <c r="E37" s="18"/>
      <c r="F37" s="18"/>
      <c r="G37" s="19"/>
    </row>
    <row r="38" customFormat="false" ht="27.75" hidden="false" customHeight="true" outlineLevel="0" collapsed="false">
      <c r="B38" s="23" t="s">
        <v>32</v>
      </c>
      <c r="C38" s="24" t="s">
        <v>244</v>
      </c>
      <c r="D38" s="25" t="s">
        <v>245</v>
      </c>
      <c r="E38" s="26"/>
      <c r="F38" s="26"/>
      <c r="G38" s="27"/>
    </row>
    <row r="39" customFormat="false" ht="27.75" hidden="false" customHeight="true" outlineLevel="0" collapsed="false">
      <c r="B39" s="15" t="s">
        <v>32</v>
      </c>
      <c r="C39" s="16" t="s">
        <v>246</v>
      </c>
      <c r="D39" s="17" t="s">
        <v>247</v>
      </c>
      <c r="E39" s="18"/>
      <c r="F39" s="18"/>
      <c r="G39" s="19"/>
    </row>
    <row r="40" customFormat="false" ht="27.75" hidden="false" customHeight="true" outlineLevel="0" collapsed="false">
      <c r="B40" s="23" t="s">
        <v>32</v>
      </c>
      <c r="C40" s="24" t="s">
        <v>248</v>
      </c>
      <c r="D40" s="25" t="s">
        <v>249</v>
      </c>
      <c r="E40" s="26"/>
      <c r="F40" s="26"/>
      <c r="G40" s="27"/>
    </row>
    <row r="41" customFormat="false" ht="27.75" hidden="false" customHeight="true" outlineLevel="0" collapsed="false">
      <c r="B41" s="15" t="s">
        <v>32</v>
      </c>
      <c r="C41" s="16" t="s">
        <v>250</v>
      </c>
      <c r="D41" s="17" t="s">
        <v>251</v>
      </c>
      <c r="E41" s="18"/>
      <c r="F41" s="18"/>
      <c r="G41" s="19"/>
    </row>
    <row r="42" customFormat="false" ht="27.75" hidden="false" customHeight="true" outlineLevel="0" collapsed="false">
      <c r="B42" s="23" t="s">
        <v>32</v>
      </c>
      <c r="C42" s="24" t="s">
        <v>252</v>
      </c>
      <c r="D42" s="25" t="s">
        <v>253</v>
      </c>
      <c r="E42" s="26"/>
      <c r="F42" s="26"/>
      <c r="G42" s="27"/>
    </row>
    <row r="44" customFormat="false" ht="30" hidden="false" customHeight="true" outlineLevel="0" collapsed="false">
      <c r="B44" s="20" t="s">
        <v>188</v>
      </c>
      <c r="C44" s="20"/>
      <c r="D44" s="20"/>
      <c r="E44" s="21" t="n">
        <f aca="false">SUM(E5:E43)</f>
        <v>0</v>
      </c>
      <c r="F44" s="21" t="n">
        <f aca="false">SUM(F5:F43)</f>
        <v>0</v>
      </c>
      <c r="G44" s="22"/>
    </row>
  </sheetData>
  <mergeCells count="8">
    <mergeCell ref="B2:G2"/>
    <mergeCell ref="B3:G3"/>
    <mergeCell ref="B5:G5"/>
    <mergeCell ref="B15:G15"/>
    <mergeCell ref="B21:G21"/>
    <mergeCell ref="B28:G28"/>
    <mergeCell ref="B35:G35"/>
    <mergeCell ref="B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7" min="5" style="0" width="14"/>
    <col collapsed="false" customWidth="true" hidden="false" outlineLevel="0" max="9" min="8" style="0" width="16"/>
    <col collapsed="false" customWidth="true" hidden="false" outlineLevel="0" max="10" min="10" style="0" width="14"/>
  </cols>
  <sheetData>
    <row r="2" customFormat="false" ht="30" hidden="false" customHeight="true" outlineLevel="0" collapsed="false">
      <c r="B2" s="6" t="s">
        <v>254</v>
      </c>
      <c r="C2" s="6"/>
      <c r="D2" s="6"/>
      <c r="E2" s="6"/>
      <c r="F2" s="6"/>
      <c r="G2" s="6"/>
      <c r="H2" s="6"/>
      <c r="I2" s="6"/>
      <c r="J2" s="6"/>
    </row>
    <row r="3" customFormat="false" ht="21.75" hidden="false" customHeight="true" outlineLevel="0" collapsed="false">
      <c r="B3" s="7" t="s">
        <v>255</v>
      </c>
      <c r="C3" s="7"/>
      <c r="D3" s="7"/>
      <c r="E3" s="7"/>
      <c r="F3" s="7"/>
      <c r="G3" s="7"/>
      <c r="H3" s="7"/>
      <c r="I3" s="7"/>
      <c r="J3" s="7"/>
    </row>
    <row r="4" customFormat="false" ht="36" hidden="false" customHeight="true" outlineLevel="0" collapsed="false">
      <c r="B4" s="8" t="s">
        <v>25</v>
      </c>
      <c r="C4" s="8" t="s">
        <v>26</v>
      </c>
      <c r="D4" s="8" t="s">
        <v>256</v>
      </c>
      <c r="E4" s="8" t="s">
        <v>257</v>
      </c>
      <c r="F4" s="8" t="s">
        <v>258</v>
      </c>
      <c r="G4" s="8" t="s">
        <v>259</v>
      </c>
      <c r="H4" s="8" t="s">
        <v>260</v>
      </c>
      <c r="I4" s="8" t="s">
        <v>261</v>
      </c>
      <c r="J4" s="8" t="s">
        <v>30</v>
      </c>
    </row>
    <row r="5" customFormat="false" ht="30" hidden="false" customHeight="true" outlineLevel="0" collapsed="false">
      <c r="B5" s="15" t="s">
        <v>32</v>
      </c>
      <c r="C5" s="16" t="s">
        <v>262</v>
      </c>
      <c r="D5" s="17" t="s">
        <v>263</v>
      </c>
      <c r="E5" s="18"/>
      <c r="F5" s="18"/>
      <c r="G5" s="28"/>
      <c r="H5" s="18" t="str">
        <f aca="false">IF(AND(F5&lt;&gt;"",G5&lt;&gt;""),F5*G5,"")</f>
        <v/>
      </c>
      <c r="I5" s="18" t="str">
        <f aca="false">IF(AND(F5&lt;&gt;"",H5&lt;&gt;""),F5-H5,"")</f>
        <v/>
      </c>
      <c r="J5" s="19"/>
    </row>
    <row r="6" customFormat="false" ht="30" hidden="false" customHeight="true" outlineLevel="0" collapsed="false">
      <c r="B6" s="29" t="s">
        <v>32</v>
      </c>
      <c r="C6" s="30" t="s">
        <v>264</v>
      </c>
      <c r="D6" s="31" t="s">
        <v>265</v>
      </c>
      <c r="E6" s="32"/>
      <c r="F6" s="32"/>
      <c r="G6" s="33"/>
      <c r="H6" s="32" t="str">
        <f aca="false">IF(AND(F6&lt;&gt;"",G6&lt;&gt;""),F6*G6,"")</f>
        <v/>
      </c>
      <c r="I6" s="32" t="str">
        <f aca="false">IF(AND(F6&lt;&gt;"",H6&lt;&gt;""),F6-H6,"")</f>
        <v/>
      </c>
      <c r="J6" s="34"/>
    </row>
    <row r="7" customFormat="false" ht="30" hidden="false" customHeight="true" outlineLevel="0" collapsed="false">
      <c r="B7" s="15" t="s">
        <v>32</v>
      </c>
      <c r="C7" s="16" t="s">
        <v>266</v>
      </c>
      <c r="D7" s="17" t="s">
        <v>267</v>
      </c>
      <c r="E7" s="18"/>
      <c r="F7" s="18"/>
      <c r="G7" s="28"/>
      <c r="H7" s="18" t="str">
        <f aca="false">IF(AND(F7&lt;&gt;"",G7&lt;&gt;""),F7*G7,"")</f>
        <v/>
      </c>
      <c r="I7" s="18" t="str">
        <f aca="false">IF(AND(F7&lt;&gt;"",H7&lt;&gt;""),F7-H7,"")</f>
        <v/>
      </c>
      <c r="J7" s="19"/>
    </row>
    <row r="8" customFormat="false" ht="30" hidden="false" customHeight="true" outlineLevel="0" collapsed="false">
      <c r="B8" s="29" t="s">
        <v>32</v>
      </c>
      <c r="C8" s="30" t="s">
        <v>268</v>
      </c>
      <c r="D8" s="31" t="s">
        <v>269</v>
      </c>
      <c r="E8" s="32"/>
      <c r="F8" s="32"/>
      <c r="G8" s="33"/>
      <c r="H8" s="32" t="str">
        <f aca="false">IF(AND(F8&lt;&gt;"",G8&lt;&gt;""),F8*G8,"")</f>
        <v/>
      </c>
      <c r="I8" s="32" t="str">
        <f aca="false">IF(AND(F8&lt;&gt;"",H8&lt;&gt;""),F8-H8,"")</f>
        <v/>
      </c>
      <c r="J8" s="34"/>
    </row>
    <row r="9" customFormat="false" ht="30" hidden="false" customHeight="true" outlineLevel="0" collapsed="false">
      <c r="B9" s="15" t="s">
        <v>32</v>
      </c>
      <c r="C9" s="16" t="s">
        <v>270</v>
      </c>
      <c r="D9" s="17" t="s">
        <v>271</v>
      </c>
      <c r="E9" s="18"/>
      <c r="F9" s="18"/>
      <c r="G9" s="28"/>
      <c r="H9" s="18" t="str">
        <f aca="false">IF(AND(F9&lt;&gt;"",G9&lt;&gt;""),F9*G9,"")</f>
        <v/>
      </c>
      <c r="I9" s="18" t="str">
        <f aca="false">IF(AND(F9&lt;&gt;"",H9&lt;&gt;""),F9-H9,"")</f>
        <v/>
      </c>
      <c r="J9" s="19"/>
    </row>
    <row r="10" customFormat="false" ht="30" hidden="false" customHeight="true" outlineLevel="0" collapsed="false">
      <c r="B10" s="29" t="s">
        <v>32</v>
      </c>
      <c r="C10" s="30" t="s">
        <v>272</v>
      </c>
      <c r="D10" s="31" t="s">
        <v>273</v>
      </c>
      <c r="E10" s="32"/>
      <c r="F10" s="32"/>
      <c r="G10" s="33"/>
      <c r="H10" s="32" t="str">
        <f aca="false">IF(AND(F10&lt;&gt;"",G10&lt;&gt;""),F10*G10,"")</f>
        <v/>
      </c>
      <c r="I10" s="32" t="str">
        <f aca="false">IF(AND(F10&lt;&gt;"",H10&lt;&gt;""),F10-H10,"")</f>
        <v/>
      </c>
      <c r="J10" s="34"/>
    </row>
    <row r="11" customFormat="false" ht="30" hidden="false" customHeight="true" outlineLevel="0" collapsed="false">
      <c r="B11" s="15" t="s">
        <v>32</v>
      </c>
      <c r="C11" s="16" t="s">
        <v>274</v>
      </c>
      <c r="D11" s="17" t="s">
        <v>275</v>
      </c>
      <c r="E11" s="18"/>
      <c r="F11" s="18"/>
      <c r="G11" s="28"/>
      <c r="H11" s="18" t="str">
        <f aca="false">IF(AND(F11&lt;&gt;"",G11&lt;&gt;""),F11*G11,"")</f>
        <v/>
      </c>
      <c r="I11" s="18" t="str">
        <f aca="false">IF(AND(F11&lt;&gt;"",H11&lt;&gt;""),F11-H11,"")</f>
        <v/>
      </c>
      <c r="J11" s="19"/>
    </row>
    <row r="12" customFormat="false" ht="30" hidden="false" customHeight="true" outlineLevel="0" collapsed="false">
      <c r="B12" s="29" t="s">
        <v>32</v>
      </c>
      <c r="C12" s="30" t="s">
        <v>276</v>
      </c>
      <c r="D12" s="31" t="s">
        <v>277</v>
      </c>
      <c r="E12" s="32"/>
      <c r="F12" s="32"/>
      <c r="G12" s="33"/>
      <c r="H12" s="32" t="str">
        <f aca="false">IF(AND(F12&lt;&gt;"",G12&lt;&gt;""),F12*G12,"")</f>
        <v/>
      </c>
      <c r="I12" s="32" t="str">
        <f aca="false">IF(AND(F12&lt;&gt;"",H12&lt;&gt;""),F12-H12,"")</f>
        <v/>
      </c>
      <c r="J12" s="34"/>
    </row>
    <row r="13" customFormat="false" ht="30" hidden="false" customHeight="true" outlineLevel="0" collapsed="false">
      <c r="B13" s="15" t="s">
        <v>32</v>
      </c>
      <c r="C13" s="16" t="s">
        <v>278</v>
      </c>
      <c r="D13" s="17" t="s">
        <v>279</v>
      </c>
      <c r="E13" s="18"/>
      <c r="F13" s="18"/>
      <c r="G13" s="28"/>
      <c r="H13" s="18" t="str">
        <f aca="false">IF(AND(F13&lt;&gt;"",G13&lt;&gt;""),F13*G13,"")</f>
        <v/>
      </c>
      <c r="I13" s="18" t="str">
        <f aca="false">IF(AND(F13&lt;&gt;"",H13&lt;&gt;""),F13-H13,"")</f>
        <v/>
      </c>
      <c r="J13" s="19"/>
    </row>
    <row r="14" customFormat="false" ht="30" hidden="false" customHeight="true" outlineLevel="0" collapsed="false">
      <c r="B14" s="29" t="s">
        <v>32</v>
      </c>
      <c r="C14" s="30" t="s">
        <v>280</v>
      </c>
      <c r="D14" s="31" t="s">
        <v>281</v>
      </c>
      <c r="E14" s="32"/>
      <c r="F14" s="32"/>
      <c r="G14" s="33"/>
      <c r="H14" s="32" t="str">
        <f aca="false">IF(AND(F14&lt;&gt;"",G14&lt;&gt;""),F14*G14,"")</f>
        <v/>
      </c>
      <c r="I14" s="32" t="str">
        <f aca="false">IF(AND(F14&lt;&gt;"",H14&lt;&gt;""),F14-H14,"")</f>
        <v/>
      </c>
      <c r="J14" s="34"/>
    </row>
    <row r="15" customFormat="false" ht="30" hidden="false" customHeight="true" outlineLevel="0" collapsed="false">
      <c r="B15" s="20" t="s">
        <v>188</v>
      </c>
      <c r="C15" s="20"/>
      <c r="D15" s="20"/>
      <c r="E15" s="21" t="n">
        <f aca="false">SUM(E5:E14)</f>
        <v>0</v>
      </c>
      <c r="F15" s="21" t="n">
        <f aca="false">SUM(F5:F14)</f>
        <v>0</v>
      </c>
      <c r="G15" s="35"/>
      <c r="H15" s="21" t="n">
        <f aca="false">SUM(H5:H14)</f>
        <v>0</v>
      </c>
      <c r="I15" s="21" t="n">
        <f aca="false">SUM(I5:I14)</f>
        <v>0</v>
      </c>
      <c r="J15" s="35"/>
    </row>
  </sheetData>
  <mergeCells count="3">
    <mergeCell ref="B2:J2"/>
    <mergeCell ref="B3:J3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8"/>
  </cols>
  <sheetData>
    <row r="2" customFormat="false" ht="30" hidden="false" customHeight="true" outlineLevel="0" collapsed="false">
      <c r="B2" s="6" t="s">
        <v>282</v>
      </c>
      <c r="C2" s="6"/>
      <c r="D2" s="6"/>
      <c r="E2" s="6"/>
      <c r="F2" s="6"/>
    </row>
    <row r="3" customFormat="false" ht="21.75" hidden="false" customHeight="true" outlineLevel="0" collapsed="false">
      <c r="B3" s="7" t="s">
        <v>283</v>
      </c>
      <c r="C3" s="7"/>
      <c r="D3" s="7"/>
      <c r="E3" s="7"/>
      <c r="F3" s="7"/>
    </row>
    <row r="5" customFormat="false" ht="30" hidden="false" customHeight="true" outlineLevel="0" collapsed="false">
      <c r="B5" s="8" t="s">
        <v>284</v>
      </c>
      <c r="C5" s="8" t="s">
        <v>257</v>
      </c>
      <c r="D5" s="8" t="s">
        <v>258</v>
      </c>
      <c r="E5" s="8" t="s">
        <v>260</v>
      </c>
      <c r="F5" s="8" t="s">
        <v>261</v>
      </c>
    </row>
    <row r="6" customFormat="false" ht="28.35" hidden="false" customHeight="false" outlineLevel="0" collapsed="false">
      <c r="B6" s="36" t="s">
        <v>285</v>
      </c>
      <c r="C6" s="37" t="n">
        <f aca="false">Recoverable!E98</f>
        <v>0</v>
      </c>
      <c r="D6" s="37" t="n">
        <f aca="false">Recoverable!F98</f>
        <v>0</v>
      </c>
      <c r="E6" s="37" t="n">
        <f aca="false">Recoverable!F98</f>
        <v>0</v>
      </c>
      <c r="F6" s="37" t="n">
        <v>0</v>
      </c>
    </row>
    <row r="7" customFormat="false" ht="15" hidden="false" customHeight="false" outlineLevel="0" collapsed="false">
      <c r="B7" s="38" t="s">
        <v>286</v>
      </c>
      <c r="C7" s="39" t="n">
        <f aca="false">Blocked!E44</f>
        <v>0</v>
      </c>
      <c r="D7" s="39" t="n">
        <f aca="false">Blocked!F44</f>
        <v>0</v>
      </c>
      <c r="E7" s="39" t="n">
        <v>0</v>
      </c>
      <c r="F7" s="39" t="n">
        <f aca="false">Blocked!F44</f>
        <v>0</v>
      </c>
    </row>
    <row r="8" customFormat="false" ht="28.35" hidden="false" customHeight="false" outlineLevel="0" collapsed="false">
      <c r="B8" s="40" t="s">
        <v>287</v>
      </c>
      <c r="C8" s="41" t="n">
        <f aca="false">'Mixed-Use'!E15</f>
        <v>0</v>
      </c>
      <c r="D8" s="41" t="n">
        <f aca="false">'Mixed-Use'!F15</f>
        <v>0</v>
      </c>
      <c r="E8" s="41" t="n">
        <f aca="false">'Mixed-Use'!H15</f>
        <v>0</v>
      </c>
      <c r="F8" s="41" t="n">
        <f aca="false">'Mixed-Use'!I15</f>
        <v>0</v>
      </c>
    </row>
    <row r="9" customFormat="false" ht="30" hidden="false" customHeight="true" outlineLevel="0" collapsed="false">
      <c r="B9" s="42" t="s">
        <v>288</v>
      </c>
      <c r="C9" s="21" t="n">
        <f aca="false">SUM(C6:C8)</f>
        <v>0</v>
      </c>
      <c r="D9" s="21" t="n">
        <f aca="false">SUM(D6:D8)</f>
        <v>0</v>
      </c>
      <c r="E9" s="21" t="n">
        <f aca="false">SUM(E6:E8)</f>
        <v>0</v>
      </c>
      <c r="F9" s="21" t="n">
        <f aca="false">SUM(F6:F8)</f>
        <v>0</v>
      </c>
    </row>
    <row r="11" customFormat="false" ht="30" hidden="false" customHeight="true" outlineLevel="0" collapsed="false">
      <c r="B11" s="43" t="s">
        <v>289</v>
      </c>
      <c r="C11" s="43"/>
      <c r="D11" s="43"/>
      <c r="E11" s="43"/>
      <c r="F11" s="44" t="n">
        <f aca="false">E9-F9</f>
        <v>0</v>
      </c>
    </row>
    <row r="13" customFormat="false" ht="21.75" hidden="false" customHeight="true" outlineLevel="0" collapsed="false">
      <c r="B13" s="45" t="s">
        <v>290</v>
      </c>
      <c r="C13" s="45"/>
      <c r="D13" s="45"/>
      <c r="E13" s="45"/>
      <c r="F13" s="45"/>
    </row>
    <row r="15" customFormat="false" ht="21.75" hidden="false" customHeight="true" outlineLevel="0" collapsed="false">
      <c r="B15" s="45" t="s">
        <v>291</v>
      </c>
      <c r="C15" s="45"/>
      <c r="D15" s="45"/>
      <c r="E15" s="45"/>
      <c r="F15" s="45"/>
    </row>
  </sheetData>
  <mergeCells count="5">
    <mergeCell ref="B2:F2"/>
    <mergeCell ref="B3:F3"/>
    <mergeCell ref="B11:E11"/>
    <mergeCell ref="B13:F13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2026-08-05T08:51:24Z</dcterms:created>
  <dc:creator>openpyxl</dc:creator>
  <dc:description/>
  <dc:language>en-US</dc:language>
  <cp:lastModifiedBy/>
  <dcterms:modified xsi:type="dcterms:W3CDTF">2026-08-05T08:51:24Z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